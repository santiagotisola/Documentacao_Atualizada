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laviano.souza/Downloads/Medições teste SET-GYN/LT 01/"/>
    </mc:Choice>
  </mc:AlternateContent>
  <xr:revisionPtr revIDLastSave="0" documentId="13_ncr:1_{F57E040A-16E9-F147-A470-51E949BA0036}" xr6:coauthVersionLast="47" xr6:coauthVersionMax="47" xr10:uidLastSave="{00000000-0000-0000-0000-000000000000}"/>
  <bookViews>
    <workbookView xWindow="4760" yWindow="500" windowWidth="29140" windowHeight="20020" xr2:uid="{00000000-000D-0000-FFFF-FFFF00000000}"/>
  </bookViews>
  <sheets>
    <sheet name="RELATÓRIO APROV. DE LEGÍVEIS" sheetId="3" r:id="rId1"/>
    <sheet name="ITEM 01" sheetId="17" r:id="rId2"/>
    <sheet name="ITEM 02" sheetId="23" r:id="rId3"/>
    <sheet name="ITEM 03" sheetId="25" r:id="rId4"/>
    <sheet name="ITEM 04" sheetId="26" r:id="rId5"/>
    <sheet name="ITEM 05" sheetId="27" r:id="rId6"/>
    <sheet name="ITEM 06" sheetId="24" r:id="rId7"/>
    <sheet name="PROVA" sheetId="5" r:id="rId8"/>
    <sheet name="Planilha1" sheetId="16" state="hidden" r:id="rId9"/>
  </sheets>
  <definedNames>
    <definedName name="_xlnm._FilterDatabase" localSheetId="1" hidden="1">'ITEM 01'!$A$11:$BE$119</definedName>
    <definedName name="_xlnm._FilterDatabase" localSheetId="2" hidden="1">'ITEM 02'!$A$11:$BE$42</definedName>
    <definedName name="_xlnm._FilterDatabase" localSheetId="3" hidden="1">'ITEM 03'!$A$11:$BE$195</definedName>
    <definedName name="_xlnm._FilterDatabase" localSheetId="4" hidden="1">'ITEM 04'!$A$11:$BE$25</definedName>
    <definedName name="_xlnm._FilterDatabase" localSheetId="5" hidden="1">'ITEM 05'!$A$11:$BE$14</definedName>
    <definedName name="_xlnm._FilterDatabase" localSheetId="6" hidden="1">'ITEM 06'!$A$11:$BE$80</definedName>
    <definedName name="_xlnm._FilterDatabase" localSheetId="7" hidden="1">PROVA!$A$2:$BC$2</definedName>
    <definedName name="_xlnm._FilterDatabase" localSheetId="0" hidden="1">'RELATÓRIO APROV. DE LEGÍVEIS'!$A$11:$BK$415</definedName>
    <definedName name="_xlnm.Print_Titles" localSheetId="1">'ITEM 01'!$10:$11</definedName>
    <definedName name="_xlnm.Print_Titles" localSheetId="2">'ITEM 02'!$10:$11</definedName>
    <definedName name="_xlnm.Print_Titles" localSheetId="3">'ITEM 03'!$10:$11</definedName>
    <definedName name="_xlnm.Print_Titles" localSheetId="4">'ITEM 04'!$10:$11</definedName>
    <definedName name="_xlnm.Print_Titles" localSheetId="5">'ITEM 05'!$10:$11</definedName>
    <definedName name="_xlnm.Print_Titles" localSheetId="6">'ITEM 06'!$10:$11</definedName>
    <definedName name="_xlnm.Print_Titles" localSheetId="7">PROVA!$1:$2</definedName>
    <definedName name="_xlnm.Print_Titles" localSheetId="0">'RELATÓRIO APROV. DE LEGÍVEIS'!$10:$11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" i="5" l="1"/>
  <c r="AP8" i="5"/>
  <c r="AO9" i="5"/>
  <c r="AP9" i="5"/>
  <c r="AO10" i="5"/>
  <c r="AP10" i="5"/>
  <c r="AR80" i="24"/>
  <c r="AS80" i="24"/>
  <c r="AT80" i="24"/>
  <c r="AU80" i="24"/>
  <c r="AV80" i="24"/>
  <c r="AQ14" i="27"/>
  <c r="AR14" i="27"/>
  <c r="AS14" i="27"/>
  <c r="AT14" i="27"/>
  <c r="AR25" i="26"/>
  <c r="AS25" i="26"/>
  <c r="AT25" i="26"/>
  <c r="AU25" i="26"/>
  <c r="AV25" i="26"/>
  <c r="AR195" i="25"/>
  <c r="AP7" i="5" s="1"/>
  <c r="AS195" i="25"/>
  <c r="AT195" i="25"/>
  <c r="AU195" i="25"/>
  <c r="AV195" i="25"/>
  <c r="AW195" i="25"/>
  <c r="AQ42" i="23"/>
  <c r="AO6" i="5" s="1"/>
  <c r="AR42" i="23"/>
  <c r="AP6" i="5" s="1"/>
  <c r="AS42" i="23"/>
  <c r="AR119" i="17"/>
  <c r="AP5" i="5" s="1"/>
  <c r="AS119" i="17"/>
  <c r="AT119" i="17"/>
  <c r="AU119" i="17"/>
  <c r="AA80" i="24"/>
  <c r="AB80" i="24"/>
  <c r="AC80" i="24"/>
  <c r="AA10" i="5" s="1"/>
  <c r="AD80" i="24"/>
  <c r="AB10" i="5" s="1"/>
  <c r="M80" i="24"/>
  <c r="N80" i="24"/>
  <c r="O80" i="24"/>
  <c r="M10" i="5" s="1"/>
  <c r="P80" i="24"/>
  <c r="N10" i="5" s="1"/>
  <c r="Q80" i="24"/>
  <c r="O10" i="5" s="1"/>
  <c r="R80" i="24"/>
  <c r="P10" i="5" s="1"/>
  <c r="S80" i="24"/>
  <c r="Q10" i="5" s="1"/>
  <c r="T80" i="24"/>
  <c r="R10" i="5" s="1"/>
  <c r="AB14" i="27"/>
  <c r="AC14" i="27"/>
  <c r="AA9" i="5" s="1"/>
  <c r="AD14" i="27"/>
  <c r="AB9" i="5" s="1"/>
  <c r="M14" i="27"/>
  <c r="K9" i="5" s="1"/>
  <c r="N14" i="27"/>
  <c r="O14" i="27"/>
  <c r="M9" i="5" s="1"/>
  <c r="P14" i="27"/>
  <c r="N9" i="5" s="1"/>
  <c r="Q14" i="27"/>
  <c r="O9" i="5" s="1"/>
  <c r="R14" i="27"/>
  <c r="P9" i="5" s="1"/>
  <c r="S14" i="27"/>
  <c r="Q9" i="5" s="1"/>
  <c r="AA25" i="26"/>
  <c r="AB25" i="26"/>
  <c r="AC25" i="26"/>
  <c r="AA8" i="5" s="1"/>
  <c r="AD25" i="26"/>
  <c r="AB8" i="5" s="1"/>
  <c r="M25" i="26"/>
  <c r="K8" i="5" s="1"/>
  <c r="N25" i="26"/>
  <c r="L8" i="5" s="1"/>
  <c r="O25" i="26"/>
  <c r="M8" i="5" s="1"/>
  <c r="P25" i="26"/>
  <c r="N8" i="5" s="1"/>
  <c r="Q25" i="26"/>
  <c r="O8" i="5" s="1"/>
  <c r="R25" i="26"/>
  <c r="P8" i="5" s="1"/>
  <c r="S25" i="26"/>
  <c r="Q8" i="5" s="1"/>
  <c r="T25" i="26"/>
  <c r="R8" i="5" s="1"/>
  <c r="AA195" i="25"/>
  <c r="AB195" i="25"/>
  <c r="AC195" i="25"/>
  <c r="AA7" i="5" s="1"/>
  <c r="AD195" i="25"/>
  <c r="AB7" i="5" s="1"/>
  <c r="M195" i="25"/>
  <c r="K7" i="5" s="1"/>
  <c r="N195" i="25"/>
  <c r="O195" i="25"/>
  <c r="M7" i="5" s="1"/>
  <c r="P195" i="25"/>
  <c r="N7" i="5" s="1"/>
  <c r="Q195" i="25"/>
  <c r="O7" i="5" s="1"/>
  <c r="R195" i="25"/>
  <c r="P7" i="5" s="1"/>
  <c r="S195" i="25"/>
  <c r="Q7" i="5" s="1"/>
  <c r="T195" i="25"/>
  <c r="R7" i="5" s="1"/>
  <c r="AA42" i="23"/>
  <c r="AB42" i="23"/>
  <c r="AC42" i="23"/>
  <c r="AA6" i="5" s="1"/>
  <c r="AD42" i="23"/>
  <c r="AB6" i="5" s="1"/>
  <c r="M42" i="23"/>
  <c r="K6" i="5" s="1"/>
  <c r="N42" i="23"/>
  <c r="L6" i="5" s="1"/>
  <c r="O42" i="23"/>
  <c r="M6" i="5" s="1"/>
  <c r="P42" i="23"/>
  <c r="N6" i="5" s="1"/>
  <c r="Q42" i="23"/>
  <c r="O6" i="5" s="1"/>
  <c r="R42" i="23"/>
  <c r="P6" i="5" s="1"/>
  <c r="S42" i="23"/>
  <c r="Q6" i="5" s="1"/>
  <c r="T42" i="23"/>
  <c r="R6" i="5" s="1"/>
  <c r="AC119" i="17"/>
  <c r="AA5" i="5" s="1"/>
  <c r="AD119" i="17"/>
  <c r="K119" i="17"/>
  <c r="L119" i="17"/>
  <c r="M119" i="17"/>
  <c r="K5" i="5" s="1"/>
  <c r="N119" i="17"/>
  <c r="L5" i="5" s="1"/>
  <c r="O119" i="17"/>
  <c r="M5" i="5" s="1"/>
  <c r="P119" i="17"/>
  <c r="N5" i="5" s="1"/>
  <c r="Q119" i="17"/>
  <c r="O5" i="5" s="1"/>
  <c r="R119" i="17"/>
  <c r="P5" i="5" s="1"/>
  <c r="S119" i="17"/>
  <c r="Q5" i="5" s="1"/>
  <c r="T119" i="17"/>
  <c r="R5" i="5" s="1"/>
  <c r="I5" i="5"/>
  <c r="J5" i="5"/>
  <c r="L7" i="5"/>
  <c r="L9" i="5"/>
  <c r="K10" i="5"/>
  <c r="L10" i="5"/>
  <c r="D13" i="26"/>
  <c r="D14" i="26"/>
  <c r="D15" i="26"/>
  <c r="D16" i="26"/>
  <c r="D17" i="26"/>
  <c r="D18" i="26"/>
  <c r="D19" i="26"/>
  <c r="D20" i="26"/>
  <c r="D21" i="26"/>
  <c r="D22" i="26"/>
  <c r="D23" i="26"/>
  <c r="D24" i="26"/>
  <c r="D12" i="26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2" i="25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12" i="23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2" i="17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12" i="3"/>
  <c r="AC415" i="3"/>
  <c r="AA3" i="5" s="1"/>
  <c r="AD415" i="3"/>
  <c r="AB3" i="5" s="1"/>
  <c r="AQ415" i="3"/>
  <c r="AO3" i="5" s="1"/>
  <c r="AO11" i="5" s="1"/>
  <c r="AR415" i="3"/>
  <c r="AP3" i="5" s="1"/>
  <c r="AP11" i="5" s="1"/>
  <c r="AS415" i="3"/>
  <c r="AT415" i="3"/>
  <c r="AU415" i="3"/>
  <c r="AV415" i="3"/>
  <c r="M415" i="3"/>
  <c r="K3" i="5" s="1"/>
  <c r="N415" i="3"/>
  <c r="L3" i="5" s="1"/>
  <c r="O415" i="3"/>
  <c r="M3" i="5" s="1"/>
  <c r="P415" i="3"/>
  <c r="N3" i="5" s="1"/>
  <c r="Q415" i="3"/>
  <c r="O3" i="5" s="1"/>
  <c r="R415" i="3"/>
  <c r="P3" i="5" s="1"/>
  <c r="S415" i="3"/>
  <c r="Q3" i="5" s="1"/>
  <c r="T415" i="3"/>
  <c r="R3" i="5" s="1"/>
  <c r="AB5" i="5"/>
  <c r="T2" i="5"/>
  <c r="U2" i="5"/>
  <c r="V2" i="5"/>
  <c r="W2" i="5"/>
  <c r="X2" i="5"/>
  <c r="Y2" i="5"/>
  <c r="Z2" i="5"/>
  <c r="AA2" i="5"/>
  <c r="AB2" i="5"/>
  <c r="AC2" i="5"/>
  <c r="G2" i="5"/>
  <c r="I40" i="3"/>
  <c r="X40" i="3"/>
  <c r="AE40" i="3"/>
  <c r="I41" i="3"/>
  <c r="X41" i="3"/>
  <c r="AE41" i="3"/>
  <c r="I42" i="3"/>
  <c r="X42" i="3"/>
  <c r="AE42" i="3"/>
  <c r="I43" i="3"/>
  <c r="X43" i="3"/>
  <c r="AE43" i="3"/>
  <c r="I44" i="3"/>
  <c r="X44" i="3"/>
  <c r="AE44" i="3"/>
  <c r="I45" i="3"/>
  <c r="X45" i="3"/>
  <c r="AE45" i="3"/>
  <c r="I46" i="3"/>
  <c r="X46" i="3"/>
  <c r="AE46" i="3"/>
  <c r="I47" i="3"/>
  <c r="X47" i="3"/>
  <c r="AE47" i="3"/>
  <c r="I48" i="3"/>
  <c r="X48" i="3"/>
  <c r="AE48" i="3"/>
  <c r="I49" i="3"/>
  <c r="X49" i="3"/>
  <c r="AE49" i="3"/>
  <c r="I50" i="3"/>
  <c r="X50" i="3"/>
  <c r="AE50" i="3"/>
  <c r="I51" i="3"/>
  <c r="X51" i="3"/>
  <c r="AE51" i="3"/>
  <c r="I52" i="3"/>
  <c r="X52" i="3"/>
  <c r="AE52" i="3"/>
  <c r="I53" i="3"/>
  <c r="X53" i="3"/>
  <c r="AE53" i="3"/>
  <c r="I54" i="3"/>
  <c r="X54" i="3"/>
  <c r="AE54" i="3"/>
  <c r="I55" i="3"/>
  <c r="X55" i="3"/>
  <c r="AE55" i="3"/>
  <c r="I56" i="3"/>
  <c r="X56" i="3"/>
  <c r="AE56" i="3"/>
  <c r="I57" i="3"/>
  <c r="X57" i="3"/>
  <c r="AE57" i="3"/>
  <c r="I58" i="3"/>
  <c r="X58" i="3"/>
  <c r="AE58" i="3"/>
  <c r="I59" i="3"/>
  <c r="X59" i="3"/>
  <c r="AE59" i="3"/>
  <c r="I60" i="3"/>
  <c r="X60" i="3"/>
  <c r="AE60" i="3"/>
  <c r="I61" i="3"/>
  <c r="X61" i="3"/>
  <c r="AE61" i="3"/>
  <c r="I62" i="3"/>
  <c r="X62" i="3"/>
  <c r="AE62" i="3"/>
  <c r="I63" i="3"/>
  <c r="X63" i="3"/>
  <c r="AE63" i="3"/>
  <c r="I64" i="3"/>
  <c r="X64" i="3"/>
  <c r="AE64" i="3"/>
  <c r="I65" i="3"/>
  <c r="X65" i="3"/>
  <c r="AE65" i="3"/>
  <c r="I66" i="3"/>
  <c r="X66" i="3"/>
  <c r="AE66" i="3"/>
  <c r="I67" i="3"/>
  <c r="X67" i="3"/>
  <c r="AE67" i="3"/>
  <c r="I68" i="3"/>
  <c r="X68" i="3"/>
  <c r="AE68" i="3"/>
  <c r="I69" i="3"/>
  <c r="X69" i="3"/>
  <c r="AE69" i="3"/>
  <c r="I70" i="3"/>
  <c r="X70" i="3"/>
  <c r="AE70" i="3"/>
  <c r="I71" i="3"/>
  <c r="X71" i="3"/>
  <c r="AE71" i="3"/>
  <c r="I72" i="3"/>
  <c r="X72" i="3"/>
  <c r="AE72" i="3"/>
  <c r="I73" i="3"/>
  <c r="X73" i="3"/>
  <c r="AE73" i="3"/>
  <c r="I74" i="3"/>
  <c r="X74" i="3"/>
  <c r="AE74" i="3"/>
  <c r="I75" i="3"/>
  <c r="X75" i="3"/>
  <c r="AE75" i="3"/>
  <c r="I76" i="3"/>
  <c r="X76" i="3"/>
  <c r="AE76" i="3"/>
  <c r="I77" i="3"/>
  <c r="X77" i="3"/>
  <c r="AE77" i="3"/>
  <c r="I78" i="3"/>
  <c r="X78" i="3"/>
  <c r="AE78" i="3"/>
  <c r="I79" i="3"/>
  <c r="X79" i="3"/>
  <c r="AE79" i="3"/>
  <c r="I80" i="3"/>
  <c r="X80" i="3"/>
  <c r="AE80" i="3"/>
  <c r="I81" i="3"/>
  <c r="X81" i="3"/>
  <c r="AE81" i="3"/>
  <c r="I82" i="3"/>
  <c r="X82" i="3"/>
  <c r="AE82" i="3"/>
  <c r="I83" i="3"/>
  <c r="X83" i="3"/>
  <c r="AE83" i="3"/>
  <c r="I84" i="3"/>
  <c r="X84" i="3"/>
  <c r="AE84" i="3"/>
  <c r="I85" i="3"/>
  <c r="X85" i="3"/>
  <c r="AE85" i="3"/>
  <c r="I86" i="3"/>
  <c r="X86" i="3"/>
  <c r="AE86" i="3"/>
  <c r="I87" i="3"/>
  <c r="X87" i="3"/>
  <c r="AE87" i="3"/>
  <c r="I88" i="3"/>
  <c r="X88" i="3"/>
  <c r="AE88" i="3"/>
  <c r="I89" i="3"/>
  <c r="X89" i="3"/>
  <c r="AE89" i="3"/>
  <c r="I90" i="3"/>
  <c r="X90" i="3"/>
  <c r="AE90" i="3"/>
  <c r="I91" i="3"/>
  <c r="X91" i="3"/>
  <c r="AE91" i="3"/>
  <c r="I92" i="3"/>
  <c r="X92" i="3"/>
  <c r="AE92" i="3"/>
  <c r="I93" i="3"/>
  <c r="X93" i="3"/>
  <c r="AE93" i="3"/>
  <c r="I94" i="3"/>
  <c r="X94" i="3"/>
  <c r="AE94" i="3"/>
  <c r="I95" i="3"/>
  <c r="X95" i="3"/>
  <c r="AE95" i="3"/>
  <c r="I96" i="3"/>
  <c r="X96" i="3"/>
  <c r="AE96" i="3"/>
  <c r="I97" i="3"/>
  <c r="X97" i="3"/>
  <c r="AE97" i="3"/>
  <c r="I98" i="3"/>
  <c r="X98" i="3"/>
  <c r="AE98" i="3"/>
  <c r="I99" i="3"/>
  <c r="X99" i="3"/>
  <c r="AE99" i="3"/>
  <c r="I100" i="3"/>
  <c r="X100" i="3"/>
  <c r="AE100" i="3"/>
  <c r="I101" i="3"/>
  <c r="X101" i="3"/>
  <c r="AE101" i="3"/>
  <c r="I102" i="3"/>
  <c r="X102" i="3"/>
  <c r="AE102" i="3"/>
  <c r="I103" i="3"/>
  <c r="X103" i="3"/>
  <c r="AE103" i="3"/>
  <c r="I104" i="3"/>
  <c r="X104" i="3"/>
  <c r="AE104" i="3"/>
  <c r="I105" i="3"/>
  <c r="X105" i="3"/>
  <c r="AE105" i="3"/>
  <c r="I106" i="3"/>
  <c r="X106" i="3"/>
  <c r="AE106" i="3"/>
  <c r="I107" i="3"/>
  <c r="X107" i="3"/>
  <c r="AE107" i="3"/>
  <c r="I108" i="3"/>
  <c r="X108" i="3"/>
  <c r="AE108" i="3"/>
  <c r="I109" i="3"/>
  <c r="X109" i="3"/>
  <c r="AE109" i="3"/>
  <c r="I110" i="3"/>
  <c r="X110" i="3"/>
  <c r="AE110" i="3"/>
  <c r="I111" i="3"/>
  <c r="X111" i="3"/>
  <c r="AE111" i="3"/>
  <c r="I112" i="3"/>
  <c r="X112" i="3"/>
  <c r="AE112" i="3"/>
  <c r="I113" i="3"/>
  <c r="X113" i="3"/>
  <c r="AE113" i="3"/>
  <c r="I114" i="3"/>
  <c r="X114" i="3"/>
  <c r="AE114" i="3"/>
  <c r="I115" i="3"/>
  <c r="X115" i="3"/>
  <c r="AE115" i="3"/>
  <c r="I116" i="3"/>
  <c r="X116" i="3"/>
  <c r="AE116" i="3"/>
  <c r="I117" i="3"/>
  <c r="X117" i="3"/>
  <c r="AE117" i="3"/>
  <c r="I118" i="3"/>
  <c r="X118" i="3"/>
  <c r="AE118" i="3"/>
  <c r="I119" i="3"/>
  <c r="X119" i="3"/>
  <c r="AE119" i="3"/>
  <c r="I120" i="3"/>
  <c r="X120" i="3"/>
  <c r="AE120" i="3"/>
  <c r="I121" i="3"/>
  <c r="X121" i="3"/>
  <c r="AE121" i="3"/>
  <c r="I122" i="3"/>
  <c r="X122" i="3"/>
  <c r="AE122" i="3"/>
  <c r="I123" i="3"/>
  <c r="X123" i="3"/>
  <c r="AE123" i="3"/>
  <c r="I124" i="3"/>
  <c r="X124" i="3"/>
  <c r="AE124" i="3"/>
  <c r="I125" i="3"/>
  <c r="X125" i="3"/>
  <c r="AE125" i="3"/>
  <c r="I126" i="3"/>
  <c r="X126" i="3"/>
  <c r="AE126" i="3"/>
  <c r="I127" i="3"/>
  <c r="X127" i="3"/>
  <c r="AE127" i="3"/>
  <c r="I128" i="3"/>
  <c r="X128" i="3"/>
  <c r="AE128" i="3"/>
  <c r="I129" i="3"/>
  <c r="X129" i="3"/>
  <c r="AE129" i="3"/>
  <c r="I130" i="3"/>
  <c r="X130" i="3"/>
  <c r="AE130" i="3"/>
  <c r="I131" i="3"/>
  <c r="X131" i="3"/>
  <c r="AE131" i="3"/>
  <c r="I132" i="3"/>
  <c r="X132" i="3"/>
  <c r="AE132" i="3"/>
  <c r="I133" i="3"/>
  <c r="X133" i="3"/>
  <c r="AE133" i="3"/>
  <c r="I134" i="3"/>
  <c r="X134" i="3"/>
  <c r="AE134" i="3"/>
  <c r="I135" i="3"/>
  <c r="X135" i="3"/>
  <c r="AE135" i="3"/>
  <c r="I136" i="3"/>
  <c r="X136" i="3"/>
  <c r="AE136" i="3"/>
  <c r="U136" i="3" s="1"/>
  <c r="I137" i="3"/>
  <c r="X137" i="3"/>
  <c r="AE137" i="3"/>
  <c r="I138" i="3"/>
  <c r="X138" i="3"/>
  <c r="AE138" i="3"/>
  <c r="I139" i="3"/>
  <c r="X139" i="3"/>
  <c r="AE139" i="3"/>
  <c r="I140" i="3"/>
  <c r="X140" i="3"/>
  <c r="AE140" i="3"/>
  <c r="I141" i="3"/>
  <c r="X141" i="3"/>
  <c r="AE141" i="3"/>
  <c r="I142" i="3"/>
  <c r="X142" i="3"/>
  <c r="AE142" i="3"/>
  <c r="I143" i="3"/>
  <c r="X143" i="3"/>
  <c r="AE143" i="3"/>
  <c r="I144" i="3"/>
  <c r="X144" i="3"/>
  <c r="AE144" i="3"/>
  <c r="I145" i="3"/>
  <c r="X145" i="3"/>
  <c r="AE145" i="3"/>
  <c r="I146" i="3"/>
  <c r="X146" i="3"/>
  <c r="AE146" i="3"/>
  <c r="I147" i="3"/>
  <c r="X147" i="3"/>
  <c r="AE147" i="3"/>
  <c r="I148" i="3"/>
  <c r="X148" i="3"/>
  <c r="AE148" i="3"/>
  <c r="I149" i="3"/>
  <c r="X149" i="3"/>
  <c r="AE149" i="3"/>
  <c r="I150" i="3"/>
  <c r="X150" i="3"/>
  <c r="AE150" i="3"/>
  <c r="I151" i="3"/>
  <c r="X151" i="3"/>
  <c r="AE151" i="3"/>
  <c r="I152" i="3"/>
  <c r="X152" i="3"/>
  <c r="AE152" i="3"/>
  <c r="I153" i="3"/>
  <c r="X153" i="3"/>
  <c r="AE153" i="3"/>
  <c r="I154" i="3"/>
  <c r="X154" i="3"/>
  <c r="AE154" i="3"/>
  <c r="I155" i="3"/>
  <c r="X155" i="3"/>
  <c r="AE155" i="3"/>
  <c r="I156" i="3"/>
  <c r="X156" i="3"/>
  <c r="AE156" i="3"/>
  <c r="I157" i="3"/>
  <c r="X157" i="3"/>
  <c r="AE157" i="3"/>
  <c r="I158" i="3"/>
  <c r="X158" i="3"/>
  <c r="AE158" i="3"/>
  <c r="I159" i="3"/>
  <c r="X159" i="3"/>
  <c r="AE159" i="3"/>
  <c r="I160" i="3"/>
  <c r="X160" i="3"/>
  <c r="AE160" i="3"/>
  <c r="I161" i="3"/>
  <c r="X161" i="3"/>
  <c r="AE161" i="3"/>
  <c r="I162" i="3"/>
  <c r="X162" i="3"/>
  <c r="AE162" i="3"/>
  <c r="I163" i="3"/>
  <c r="X163" i="3"/>
  <c r="AE163" i="3"/>
  <c r="I164" i="3"/>
  <c r="X164" i="3"/>
  <c r="AE164" i="3"/>
  <c r="I165" i="3"/>
  <c r="X165" i="3"/>
  <c r="AE165" i="3"/>
  <c r="I166" i="3"/>
  <c r="X166" i="3"/>
  <c r="AE166" i="3"/>
  <c r="I167" i="3"/>
  <c r="X167" i="3"/>
  <c r="AE167" i="3"/>
  <c r="I168" i="3"/>
  <c r="X168" i="3"/>
  <c r="AE168" i="3"/>
  <c r="I169" i="3"/>
  <c r="X169" i="3"/>
  <c r="AE169" i="3"/>
  <c r="I170" i="3"/>
  <c r="X170" i="3"/>
  <c r="AE170" i="3"/>
  <c r="I171" i="3"/>
  <c r="X171" i="3"/>
  <c r="AE171" i="3"/>
  <c r="I172" i="3"/>
  <c r="X172" i="3"/>
  <c r="AE172" i="3"/>
  <c r="I173" i="3"/>
  <c r="X173" i="3"/>
  <c r="AE173" i="3"/>
  <c r="I174" i="3"/>
  <c r="X174" i="3"/>
  <c r="AE174" i="3"/>
  <c r="I175" i="3"/>
  <c r="X175" i="3"/>
  <c r="AE175" i="3"/>
  <c r="I176" i="3"/>
  <c r="X176" i="3"/>
  <c r="AE176" i="3"/>
  <c r="I177" i="3"/>
  <c r="X177" i="3"/>
  <c r="AE177" i="3"/>
  <c r="I178" i="3"/>
  <c r="X178" i="3"/>
  <c r="AE178" i="3"/>
  <c r="I179" i="3"/>
  <c r="X179" i="3"/>
  <c r="AE179" i="3"/>
  <c r="I180" i="3"/>
  <c r="X180" i="3"/>
  <c r="AE180" i="3"/>
  <c r="I181" i="3"/>
  <c r="X181" i="3"/>
  <c r="AE181" i="3"/>
  <c r="I182" i="3"/>
  <c r="X182" i="3"/>
  <c r="AE182" i="3"/>
  <c r="I183" i="3"/>
  <c r="X183" i="3"/>
  <c r="AE183" i="3"/>
  <c r="I184" i="3"/>
  <c r="X184" i="3"/>
  <c r="AE184" i="3"/>
  <c r="I185" i="3"/>
  <c r="X185" i="3"/>
  <c r="AE185" i="3"/>
  <c r="I186" i="3"/>
  <c r="X186" i="3"/>
  <c r="AE186" i="3"/>
  <c r="I187" i="3"/>
  <c r="X187" i="3"/>
  <c r="AE187" i="3"/>
  <c r="I188" i="3"/>
  <c r="X188" i="3"/>
  <c r="AE188" i="3"/>
  <c r="I189" i="3"/>
  <c r="X189" i="3"/>
  <c r="AE189" i="3"/>
  <c r="I190" i="3"/>
  <c r="X190" i="3"/>
  <c r="AE190" i="3"/>
  <c r="I191" i="3"/>
  <c r="X191" i="3"/>
  <c r="AE191" i="3"/>
  <c r="I192" i="3"/>
  <c r="X192" i="3"/>
  <c r="AE192" i="3"/>
  <c r="I193" i="3"/>
  <c r="X193" i="3"/>
  <c r="AE193" i="3"/>
  <c r="I194" i="3"/>
  <c r="X194" i="3"/>
  <c r="AE194" i="3"/>
  <c r="I195" i="3"/>
  <c r="X195" i="3"/>
  <c r="AE195" i="3"/>
  <c r="I196" i="3"/>
  <c r="X196" i="3"/>
  <c r="AE196" i="3"/>
  <c r="I197" i="3"/>
  <c r="X197" i="3"/>
  <c r="AE197" i="3"/>
  <c r="I198" i="3"/>
  <c r="X198" i="3"/>
  <c r="AE198" i="3"/>
  <c r="I199" i="3"/>
  <c r="X199" i="3"/>
  <c r="AE199" i="3"/>
  <c r="I200" i="3"/>
  <c r="X200" i="3"/>
  <c r="AE200" i="3"/>
  <c r="I201" i="3"/>
  <c r="X201" i="3"/>
  <c r="AE201" i="3"/>
  <c r="I202" i="3"/>
  <c r="X202" i="3"/>
  <c r="AE202" i="3"/>
  <c r="I203" i="3"/>
  <c r="X203" i="3"/>
  <c r="AE203" i="3"/>
  <c r="I204" i="3"/>
  <c r="X204" i="3"/>
  <c r="AE204" i="3"/>
  <c r="I205" i="3"/>
  <c r="X205" i="3"/>
  <c r="AE205" i="3"/>
  <c r="I206" i="3"/>
  <c r="X206" i="3"/>
  <c r="AE206" i="3"/>
  <c r="I207" i="3"/>
  <c r="X207" i="3"/>
  <c r="AE207" i="3"/>
  <c r="I208" i="3"/>
  <c r="X208" i="3"/>
  <c r="AE208" i="3"/>
  <c r="I209" i="3"/>
  <c r="X209" i="3"/>
  <c r="AE209" i="3"/>
  <c r="I210" i="3"/>
  <c r="X210" i="3"/>
  <c r="AE210" i="3"/>
  <c r="I211" i="3"/>
  <c r="X211" i="3"/>
  <c r="AE211" i="3"/>
  <c r="I212" i="3"/>
  <c r="X212" i="3"/>
  <c r="AE212" i="3"/>
  <c r="I213" i="3"/>
  <c r="X213" i="3"/>
  <c r="AE213" i="3"/>
  <c r="I214" i="3"/>
  <c r="X214" i="3"/>
  <c r="AE214" i="3"/>
  <c r="I215" i="3"/>
  <c r="X215" i="3"/>
  <c r="AE215" i="3"/>
  <c r="I216" i="3"/>
  <c r="X216" i="3"/>
  <c r="AE216" i="3"/>
  <c r="I217" i="3"/>
  <c r="X217" i="3"/>
  <c r="AE217" i="3"/>
  <c r="I218" i="3"/>
  <c r="X218" i="3"/>
  <c r="AE218" i="3"/>
  <c r="I219" i="3"/>
  <c r="X219" i="3"/>
  <c r="AE219" i="3"/>
  <c r="I220" i="3"/>
  <c r="X220" i="3"/>
  <c r="AE220" i="3"/>
  <c r="I221" i="3"/>
  <c r="X221" i="3"/>
  <c r="AE221" i="3"/>
  <c r="I222" i="3"/>
  <c r="X222" i="3"/>
  <c r="AE222" i="3"/>
  <c r="I223" i="3"/>
  <c r="X223" i="3"/>
  <c r="AE223" i="3"/>
  <c r="I224" i="3"/>
  <c r="X224" i="3"/>
  <c r="AE224" i="3"/>
  <c r="I225" i="3"/>
  <c r="X225" i="3"/>
  <c r="AE225" i="3"/>
  <c r="I226" i="3"/>
  <c r="X226" i="3"/>
  <c r="AE226" i="3"/>
  <c r="I227" i="3"/>
  <c r="X227" i="3"/>
  <c r="AE227" i="3"/>
  <c r="I228" i="3"/>
  <c r="X228" i="3"/>
  <c r="AE228" i="3"/>
  <c r="I229" i="3"/>
  <c r="X229" i="3"/>
  <c r="AE229" i="3"/>
  <c r="I230" i="3"/>
  <c r="X230" i="3"/>
  <c r="AE230" i="3"/>
  <c r="I231" i="3"/>
  <c r="X231" i="3"/>
  <c r="AE231" i="3"/>
  <c r="I232" i="3"/>
  <c r="X232" i="3"/>
  <c r="AE232" i="3"/>
  <c r="I233" i="3"/>
  <c r="X233" i="3"/>
  <c r="AE233" i="3"/>
  <c r="I234" i="3"/>
  <c r="X234" i="3"/>
  <c r="AE234" i="3"/>
  <c r="I235" i="3"/>
  <c r="X235" i="3"/>
  <c r="AE235" i="3"/>
  <c r="I236" i="3"/>
  <c r="X236" i="3"/>
  <c r="AE236" i="3"/>
  <c r="I237" i="3"/>
  <c r="X237" i="3"/>
  <c r="AE237" i="3"/>
  <c r="I238" i="3"/>
  <c r="X238" i="3"/>
  <c r="AE238" i="3"/>
  <c r="I239" i="3"/>
  <c r="X239" i="3"/>
  <c r="AE239" i="3"/>
  <c r="I240" i="3"/>
  <c r="X240" i="3"/>
  <c r="AE240" i="3"/>
  <c r="I241" i="3"/>
  <c r="X241" i="3"/>
  <c r="AE241" i="3"/>
  <c r="I242" i="3"/>
  <c r="X242" i="3"/>
  <c r="AE242" i="3"/>
  <c r="I243" i="3"/>
  <c r="X243" i="3"/>
  <c r="AE243" i="3"/>
  <c r="I244" i="3"/>
  <c r="X244" i="3"/>
  <c r="AE244" i="3"/>
  <c r="I245" i="3"/>
  <c r="X245" i="3"/>
  <c r="AE245" i="3"/>
  <c r="I246" i="3"/>
  <c r="X246" i="3"/>
  <c r="AE246" i="3"/>
  <c r="I247" i="3"/>
  <c r="X247" i="3"/>
  <c r="AE247" i="3"/>
  <c r="I248" i="3"/>
  <c r="X248" i="3"/>
  <c r="AE248" i="3"/>
  <c r="I249" i="3"/>
  <c r="X249" i="3"/>
  <c r="AE249" i="3"/>
  <c r="I250" i="3"/>
  <c r="X250" i="3"/>
  <c r="AE250" i="3"/>
  <c r="I251" i="3"/>
  <c r="X251" i="3"/>
  <c r="AE251" i="3"/>
  <c r="I252" i="3"/>
  <c r="X252" i="3"/>
  <c r="AE252" i="3"/>
  <c r="I253" i="3"/>
  <c r="X253" i="3"/>
  <c r="AE253" i="3"/>
  <c r="I254" i="3"/>
  <c r="X254" i="3"/>
  <c r="AE254" i="3"/>
  <c r="I255" i="3"/>
  <c r="X255" i="3"/>
  <c r="AE255" i="3"/>
  <c r="I256" i="3"/>
  <c r="X256" i="3"/>
  <c r="AE256" i="3"/>
  <c r="I257" i="3"/>
  <c r="X257" i="3"/>
  <c r="AE257" i="3"/>
  <c r="I258" i="3"/>
  <c r="X258" i="3"/>
  <c r="AE258" i="3"/>
  <c r="I259" i="3"/>
  <c r="X259" i="3"/>
  <c r="AE259" i="3"/>
  <c r="I260" i="3"/>
  <c r="X260" i="3"/>
  <c r="AE260" i="3"/>
  <c r="I261" i="3"/>
  <c r="X261" i="3"/>
  <c r="AE261" i="3"/>
  <c r="I262" i="3"/>
  <c r="X262" i="3"/>
  <c r="AE262" i="3"/>
  <c r="I263" i="3"/>
  <c r="X263" i="3"/>
  <c r="AE263" i="3"/>
  <c r="I264" i="3"/>
  <c r="X264" i="3"/>
  <c r="AE264" i="3"/>
  <c r="I265" i="3"/>
  <c r="X265" i="3"/>
  <c r="AE265" i="3"/>
  <c r="I266" i="3"/>
  <c r="X266" i="3"/>
  <c r="AE266" i="3"/>
  <c r="I267" i="3"/>
  <c r="X267" i="3"/>
  <c r="AE267" i="3"/>
  <c r="I268" i="3"/>
  <c r="X268" i="3"/>
  <c r="AE268" i="3"/>
  <c r="I269" i="3"/>
  <c r="X269" i="3"/>
  <c r="AE269" i="3"/>
  <c r="I270" i="3"/>
  <c r="X270" i="3"/>
  <c r="AE270" i="3"/>
  <c r="I271" i="3"/>
  <c r="X271" i="3"/>
  <c r="AE271" i="3"/>
  <c r="I272" i="3"/>
  <c r="X272" i="3"/>
  <c r="AE272" i="3"/>
  <c r="I273" i="3"/>
  <c r="X273" i="3"/>
  <c r="AE273" i="3"/>
  <c r="I274" i="3"/>
  <c r="X274" i="3"/>
  <c r="AE274" i="3"/>
  <c r="I275" i="3"/>
  <c r="X275" i="3"/>
  <c r="AE275" i="3"/>
  <c r="I276" i="3"/>
  <c r="X276" i="3"/>
  <c r="AE276" i="3"/>
  <c r="I277" i="3"/>
  <c r="X277" i="3"/>
  <c r="AE277" i="3"/>
  <c r="I278" i="3"/>
  <c r="X278" i="3"/>
  <c r="AE278" i="3"/>
  <c r="I279" i="3"/>
  <c r="X279" i="3"/>
  <c r="AE279" i="3"/>
  <c r="I280" i="3"/>
  <c r="X280" i="3"/>
  <c r="AE280" i="3"/>
  <c r="I281" i="3"/>
  <c r="X281" i="3"/>
  <c r="AE281" i="3"/>
  <c r="I282" i="3"/>
  <c r="X282" i="3"/>
  <c r="AE282" i="3"/>
  <c r="I283" i="3"/>
  <c r="X283" i="3"/>
  <c r="AE283" i="3"/>
  <c r="I284" i="3"/>
  <c r="X284" i="3"/>
  <c r="AE284" i="3"/>
  <c r="I285" i="3"/>
  <c r="X285" i="3"/>
  <c r="AE285" i="3"/>
  <c r="I286" i="3"/>
  <c r="X286" i="3"/>
  <c r="AE286" i="3"/>
  <c r="I287" i="3"/>
  <c r="X287" i="3"/>
  <c r="AE287" i="3"/>
  <c r="I288" i="3"/>
  <c r="X288" i="3"/>
  <c r="AE288" i="3"/>
  <c r="I289" i="3"/>
  <c r="X289" i="3"/>
  <c r="AE289" i="3"/>
  <c r="I290" i="3"/>
  <c r="X290" i="3"/>
  <c r="AE290" i="3"/>
  <c r="I291" i="3"/>
  <c r="X291" i="3"/>
  <c r="AE291" i="3"/>
  <c r="I292" i="3"/>
  <c r="X292" i="3"/>
  <c r="AE292" i="3"/>
  <c r="I293" i="3"/>
  <c r="X293" i="3"/>
  <c r="AE293" i="3"/>
  <c r="I294" i="3"/>
  <c r="X294" i="3"/>
  <c r="AE294" i="3"/>
  <c r="I295" i="3"/>
  <c r="X295" i="3"/>
  <c r="AE295" i="3"/>
  <c r="I296" i="3"/>
  <c r="X296" i="3"/>
  <c r="AE296" i="3"/>
  <c r="I297" i="3"/>
  <c r="X297" i="3"/>
  <c r="AE297" i="3"/>
  <c r="I298" i="3"/>
  <c r="X298" i="3"/>
  <c r="AE298" i="3"/>
  <c r="I299" i="3"/>
  <c r="X299" i="3"/>
  <c r="AE299" i="3"/>
  <c r="I300" i="3"/>
  <c r="X300" i="3"/>
  <c r="AE300" i="3"/>
  <c r="I301" i="3"/>
  <c r="X301" i="3"/>
  <c r="AE301" i="3"/>
  <c r="I302" i="3"/>
  <c r="X302" i="3"/>
  <c r="AE302" i="3"/>
  <c r="I303" i="3"/>
  <c r="X303" i="3"/>
  <c r="AE303" i="3"/>
  <c r="I304" i="3"/>
  <c r="X304" i="3"/>
  <c r="AE304" i="3"/>
  <c r="I305" i="3"/>
  <c r="X305" i="3"/>
  <c r="AE305" i="3"/>
  <c r="I306" i="3"/>
  <c r="X306" i="3"/>
  <c r="AE306" i="3"/>
  <c r="I307" i="3"/>
  <c r="X307" i="3"/>
  <c r="AE307" i="3"/>
  <c r="I308" i="3"/>
  <c r="X308" i="3"/>
  <c r="AE308" i="3"/>
  <c r="I309" i="3"/>
  <c r="X309" i="3"/>
  <c r="AE309" i="3"/>
  <c r="I310" i="3"/>
  <c r="X310" i="3"/>
  <c r="AE310" i="3"/>
  <c r="I311" i="3"/>
  <c r="X311" i="3"/>
  <c r="AE311" i="3"/>
  <c r="I312" i="3"/>
  <c r="X312" i="3"/>
  <c r="AE312" i="3"/>
  <c r="I313" i="3"/>
  <c r="X313" i="3"/>
  <c r="AE313" i="3"/>
  <c r="I314" i="3"/>
  <c r="X314" i="3"/>
  <c r="AE314" i="3"/>
  <c r="I315" i="3"/>
  <c r="X315" i="3"/>
  <c r="AE315" i="3"/>
  <c r="I316" i="3"/>
  <c r="X316" i="3"/>
  <c r="AE316" i="3"/>
  <c r="I317" i="3"/>
  <c r="X317" i="3"/>
  <c r="AE317" i="3"/>
  <c r="I318" i="3"/>
  <c r="X318" i="3"/>
  <c r="AE318" i="3"/>
  <c r="I319" i="3"/>
  <c r="X319" i="3"/>
  <c r="AE319" i="3"/>
  <c r="I320" i="3"/>
  <c r="X320" i="3"/>
  <c r="AE320" i="3"/>
  <c r="I321" i="3"/>
  <c r="X321" i="3"/>
  <c r="AE321" i="3"/>
  <c r="I322" i="3"/>
  <c r="X322" i="3"/>
  <c r="AE322" i="3"/>
  <c r="I323" i="3"/>
  <c r="X323" i="3"/>
  <c r="AE323" i="3"/>
  <c r="I324" i="3"/>
  <c r="X324" i="3"/>
  <c r="AE324" i="3"/>
  <c r="I325" i="3"/>
  <c r="X325" i="3"/>
  <c r="AE325" i="3"/>
  <c r="I326" i="3"/>
  <c r="X326" i="3"/>
  <c r="AE326" i="3"/>
  <c r="I327" i="3"/>
  <c r="X327" i="3"/>
  <c r="AE327" i="3"/>
  <c r="I328" i="3"/>
  <c r="X328" i="3"/>
  <c r="AE328" i="3"/>
  <c r="I329" i="3"/>
  <c r="X329" i="3"/>
  <c r="AE329" i="3"/>
  <c r="I330" i="3"/>
  <c r="X330" i="3"/>
  <c r="AE330" i="3"/>
  <c r="I331" i="3"/>
  <c r="X331" i="3"/>
  <c r="AE331" i="3"/>
  <c r="I332" i="3"/>
  <c r="X332" i="3"/>
  <c r="AE332" i="3"/>
  <c r="I333" i="3"/>
  <c r="X333" i="3"/>
  <c r="AE333" i="3"/>
  <c r="I334" i="3"/>
  <c r="X334" i="3"/>
  <c r="AE334" i="3"/>
  <c r="I335" i="3"/>
  <c r="X335" i="3"/>
  <c r="AE335" i="3"/>
  <c r="I336" i="3"/>
  <c r="X336" i="3"/>
  <c r="AE336" i="3"/>
  <c r="I337" i="3"/>
  <c r="X337" i="3"/>
  <c r="AE337" i="3"/>
  <c r="I338" i="3"/>
  <c r="X338" i="3"/>
  <c r="AE338" i="3"/>
  <c r="I339" i="3"/>
  <c r="X339" i="3"/>
  <c r="AE339" i="3"/>
  <c r="I340" i="3"/>
  <c r="X340" i="3"/>
  <c r="AE340" i="3"/>
  <c r="I341" i="3"/>
  <c r="X341" i="3"/>
  <c r="AE341" i="3"/>
  <c r="I342" i="3"/>
  <c r="X342" i="3"/>
  <c r="AE342" i="3"/>
  <c r="I343" i="3"/>
  <c r="X343" i="3"/>
  <c r="AE343" i="3"/>
  <c r="I344" i="3"/>
  <c r="X344" i="3"/>
  <c r="AE344" i="3"/>
  <c r="I345" i="3"/>
  <c r="X345" i="3"/>
  <c r="AE345" i="3"/>
  <c r="I346" i="3"/>
  <c r="X346" i="3"/>
  <c r="AE346" i="3"/>
  <c r="I347" i="3"/>
  <c r="X347" i="3"/>
  <c r="AE347" i="3"/>
  <c r="I348" i="3"/>
  <c r="X348" i="3"/>
  <c r="AE348" i="3"/>
  <c r="I349" i="3"/>
  <c r="X349" i="3"/>
  <c r="AE349" i="3"/>
  <c r="I350" i="3"/>
  <c r="X350" i="3"/>
  <c r="AE350" i="3"/>
  <c r="I351" i="3"/>
  <c r="X351" i="3"/>
  <c r="AE351" i="3"/>
  <c r="I352" i="3"/>
  <c r="X352" i="3"/>
  <c r="AE352" i="3"/>
  <c r="I353" i="3"/>
  <c r="X353" i="3"/>
  <c r="AE353" i="3"/>
  <c r="I354" i="3"/>
  <c r="X354" i="3"/>
  <c r="AE354" i="3"/>
  <c r="I355" i="3"/>
  <c r="X355" i="3"/>
  <c r="AE355" i="3"/>
  <c r="I356" i="3"/>
  <c r="X356" i="3"/>
  <c r="AE356" i="3"/>
  <c r="I357" i="3"/>
  <c r="X357" i="3"/>
  <c r="AE357" i="3"/>
  <c r="I358" i="3"/>
  <c r="X358" i="3"/>
  <c r="AE358" i="3"/>
  <c r="I359" i="3"/>
  <c r="X359" i="3"/>
  <c r="AE359" i="3"/>
  <c r="I360" i="3"/>
  <c r="X360" i="3"/>
  <c r="AE360" i="3"/>
  <c r="I361" i="3"/>
  <c r="X361" i="3"/>
  <c r="AE361" i="3"/>
  <c r="I362" i="3"/>
  <c r="X362" i="3"/>
  <c r="AE362" i="3"/>
  <c r="I363" i="3"/>
  <c r="X363" i="3"/>
  <c r="AE363" i="3"/>
  <c r="I364" i="3"/>
  <c r="X364" i="3"/>
  <c r="AE364" i="3"/>
  <c r="I365" i="3"/>
  <c r="X365" i="3"/>
  <c r="AE365" i="3"/>
  <c r="I366" i="3"/>
  <c r="X366" i="3"/>
  <c r="AE366" i="3"/>
  <c r="I367" i="3"/>
  <c r="X367" i="3"/>
  <c r="AE367" i="3"/>
  <c r="I368" i="3"/>
  <c r="X368" i="3"/>
  <c r="AE368" i="3"/>
  <c r="U368" i="3" s="1"/>
  <c r="I369" i="3"/>
  <c r="X369" i="3"/>
  <c r="AE369" i="3"/>
  <c r="I370" i="3"/>
  <c r="X370" i="3"/>
  <c r="AE370" i="3"/>
  <c r="I371" i="3"/>
  <c r="X371" i="3"/>
  <c r="AE371" i="3"/>
  <c r="I372" i="3"/>
  <c r="X372" i="3"/>
  <c r="AE372" i="3"/>
  <c r="I373" i="3"/>
  <c r="X373" i="3"/>
  <c r="AE373" i="3"/>
  <c r="I374" i="3"/>
  <c r="X374" i="3"/>
  <c r="AE374" i="3"/>
  <c r="I375" i="3"/>
  <c r="X375" i="3"/>
  <c r="AE375" i="3"/>
  <c r="I376" i="3"/>
  <c r="X376" i="3"/>
  <c r="AE376" i="3"/>
  <c r="I377" i="3"/>
  <c r="X377" i="3"/>
  <c r="AE377" i="3"/>
  <c r="I378" i="3"/>
  <c r="X378" i="3"/>
  <c r="AE378" i="3"/>
  <c r="I379" i="3"/>
  <c r="X379" i="3"/>
  <c r="AE379" i="3"/>
  <c r="I380" i="3"/>
  <c r="X380" i="3"/>
  <c r="AE380" i="3"/>
  <c r="I381" i="3"/>
  <c r="X381" i="3"/>
  <c r="AE381" i="3"/>
  <c r="I382" i="3"/>
  <c r="X382" i="3"/>
  <c r="AE382" i="3"/>
  <c r="I383" i="3"/>
  <c r="X383" i="3"/>
  <c r="AE383" i="3"/>
  <c r="I384" i="3"/>
  <c r="X384" i="3"/>
  <c r="AE384" i="3"/>
  <c r="I385" i="3"/>
  <c r="X385" i="3"/>
  <c r="AE385" i="3"/>
  <c r="I386" i="3"/>
  <c r="X386" i="3"/>
  <c r="AE386" i="3"/>
  <c r="I387" i="3"/>
  <c r="X387" i="3"/>
  <c r="AE387" i="3"/>
  <c r="I388" i="3"/>
  <c r="X388" i="3"/>
  <c r="AE388" i="3"/>
  <c r="I389" i="3"/>
  <c r="X389" i="3"/>
  <c r="AE389" i="3"/>
  <c r="I390" i="3"/>
  <c r="X390" i="3"/>
  <c r="AE390" i="3"/>
  <c r="I391" i="3"/>
  <c r="X391" i="3"/>
  <c r="AE391" i="3"/>
  <c r="I392" i="3"/>
  <c r="X392" i="3"/>
  <c r="AE392" i="3"/>
  <c r="I393" i="3"/>
  <c r="X393" i="3"/>
  <c r="AE393" i="3"/>
  <c r="I394" i="3"/>
  <c r="X394" i="3"/>
  <c r="AE394" i="3"/>
  <c r="I395" i="3"/>
  <c r="X395" i="3"/>
  <c r="AE395" i="3"/>
  <c r="I396" i="3"/>
  <c r="X396" i="3"/>
  <c r="AE396" i="3"/>
  <c r="I397" i="3"/>
  <c r="X397" i="3"/>
  <c r="AE397" i="3"/>
  <c r="I398" i="3"/>
  <c r="X398" i="3"/>
  <c r="AE398" i="3"/>
  <c r="I399" i="3"/>
  <c r="X399" i="3"/>
  <c r="AE399" i="3"/>
  <c r="I400" i="3"/>
  <c r="X400" i="3"/>
  <c r="AE400" i="3"/>
  <c r="I401" i="3"/>
  <c r="X401" i="3"/>
  <c r="AE401" i="3"/>
  <c r="I402" i="3"/>
  <c r="X402" i="3"/>
  <c r="AE402" i="3"/>
  <c r="I403" i="3"/>
  <c r="X403" i="3"/>
  <c r="AE403" i="3"/>
  <c r="I404" i="3"/>
  <c r="X404" i="3"/>
  <c r="AE404" i="3"/>
  <c r="I405" i="3"/>
  <c r="X405" i="3"/>
  <c r="AE405" i="3"/>
  <c r="I406" i="3"/>
  <c r="X406" i="3"/>
  <c r="AE406" i="3"/>
  <c r="I407" i="3"/>
  <c r="X407" i="3"/>
  <c r="AE407" i="3"/>
  <c r="I408" i="3"/>
  <c r="X408" i="3"/>
  <c r="AE408" i="3"/>
  <c r="I409" i="3"/>
  <c r="X409" i="3"/>
  <c r="AE409" i="3"/>
  <c r="I410" i="3"/>
  <c r="X410" i="3"/>
  <c r="AE410" i="3"/>
  <c r="I411" i="3"/>
  <c r="X411" i="3"/>
  <c r="AE411" i="3"/>
  <c r="I412" i="3"/>
  <c r="X412" i="3"/>
  <c r="AE412" i="3"/>
  <c r="I413" i="3"/>
  <c r="X413" i="3"/>
  <c r="AE413" i="3"/>
  <c r="I414" i="3"/>
  <c r="X414" i="3"/>
  <c r="AE414" i="3"/>
  <c r="I15" i="24"/>
  <c r="X15" i="24"/>
  <c r="AE15" i="24"/>
  <c r="BE15" i="24"/>
  <c r="I16" i="24"/>
  <c r="X16" i="24"/>
  <c r="AE16" i="24"/>
  <c r="I17" i="24"/>
  <c r="X17" i="24"/>
  <c r="AE17" i="24"/>
  <c r="I18" i="24"/>
  <c r="X18" i="24"/>
  <c r="AE18" i="24"/>
  <c r="I19" i="24"/>
  <c r="X19" i="24"/>
  <c r="AE19" i="24"/>
  <c r="BE19" i="24" s="1"/>
  <c r="I20" i="24"/>
  <c r="X20" i="24"/>
  <c r="AE20" i="24"/>
  <c r="BE20" i="24"/>
  <c r="I21" i="24"/>
  <c r="X21" i="24"/>
  <c r="AE21" i="24"/>
  <c r="BE21" i="24"/>
  <c r="I22" i="24"/>
  <c r="X22" i="24"/>
  <c r="AE22" i="24"/>
  <c r="I23" i="24"/>
  <c r="X23" i="24"/>
  <c r="AE23" i="24"/>
  <c r="BE23" i="24" s="1"/>
  <c r="I24" i="24"/>
  <c r="X24" i="24"/>
  <c r="AE24" i="24"/>
  <c r="I25" i="24"/>
  <c r="X25" i="24"/>
  <c r="AE25" i="24"/>
  <c r="BE25" i="24" s="1"/>
  <c r="I26" i="24"/>
  <c r="X26" i="24"/>
  <c r="AE26" i="24"/>
  <c r="I27" i="24"/>
  <c r="X27" i="24"/>
  <c r="AE27" i="24"/>
  <c r="I28" i="24"/>
  <c r="X28" i="24"/>
  <c r="AE28" i="24"/>
  <c r="BE28" i="24"/>
  <c r="I29" i="24"/>
  <c r="X29" i="24"/>
  <c r="AE29" i="24"/>
  <c r="I30" i="24"/>
  <c r="X30" i="24"/>
  <c r="AE30" i="24"/>
  <c r="BE30" i="24"/>
  <c r="I31" i="24"/>
  <c r="X31" i="24"/>
  <c r="AE31" i="24"/>
  <c r="I32" i="24"/>
  <c r="X32" i="24"/>
  <c r="AE32" i="24"/>
  <c r="BE32" i="24" s="1"/>
  <c r="I33" i="24"/>
  <c r="X33" i="24"/>
  <c r="AE33" i="24"/>
  <c r="I34" i="24"/>
  <c r="X34" i="24"/>
  <c r="AE34" i="24"/>
  <c r="I35" i="24"/>
  <c r="X35" i="24"/>
  <c r="AE35" i="24"/>
  <c r="BE35" i="24" s="1"/>
  <c r="I36" i="24"/>
  <c r="X36" i="24"/>
  <c r="AE36" i="24"/>
  <c r="I37" i="24"/>
  <c r="BE37" i="24" s="1"/>
  <c r="X37" i="24"/>
  <c r="AE37" i="24"/>
  <c r="I38" i="24"/>
  <c r="X38" i="24"/>
  <c r="AE38" i="24"/>
  <c r="I39" i="24"/>
  <c r="BE39" i="24" s="1"/>
  <c r="X39" i="24"/>
  <c r="AE39" i="24"/>
  <c r="I40" i="24"/>
  <c r="X40" i="24"/>
  <c r="AE40" i="24"/>
  <c r="BE40" i="24" s="1"/>
  <c r="I41" i="24"/>
  <c r="X41" i="24"/>
  <c r="AE41" i="24"/>
  <c r="I42" i="24"/>
  <c r="X42" i="24"/>
  <c r="AE42" i="24"/>
  <c r="I43" i="24"/>
  <c r="X43" i="24"/>
  <c r="AE43" i="24"/>
  <c r="I44" i="24"/>
  <c r="X44" i="24"/>
  <c r="AE44" i="24"/>
  <c r="I45" i="24"/>
  <c r="X45" i="24"/>
  <c r="AE45" i="24"/>
  <c r="I46" i="24"/>
  <c r="X46" i="24"/>
  <c r="AE46" i="24"/>
  <c r="I47" i="24"/>
  <c r="BE47" i="24" s="1"/>
  <c r="X47" i="24"/>
  <c r="AE47" i="24"/>
  <c r="I48" i="24"/>
  <c r="X48" i="24"/>
  <c r="AE48" i="24"/>
  <c r="BE48" i="24" s="1"/>
  <c r="I49" i="24"/>
  <c r="X49" i="24"/>
  <c r="AE49" i="24"/>
  <c r="I50" i="24"/>
  <c r="X50" i="24"/>
  <c r="AE50" i="24"/>
  <c r="I51" i="24"/>
  <c r="X51" i="24"/>
  <c r="AE51" i="24"/>
  <c r="I52" i="24"/>
  <c r="X52" i="24"/>
  <c r="AE52" i="24"/>
  <c r="I53" i="24"/>
  <c r="X53" i="24"/>
  <c r="AE53" i="24"/>
  <c r="BE53" i="24" s="1"/>
  <c r="I54" i="24"/>
  <c r="X54" i="24"/>
  <c r="AE54" i="24"/>
  <c r="I55" i="24"/>
  <c r="X55" i="24"/>
  <c r="AE55" i="24"/>
  <c r="I56" i="24"/>
  <c r="X56" i="24"/>
  <c r="AE56" i="24"/>
  <c r="I57" i="24"/>
  <c r="X57" i="24"/>
  <c r="AE57" i="24"/>
  <c r="I58" i="24"/>
  <c r="X58" i="24"/>
  <c r="AE58" i="24"/>
  <c r="I59" i="24"/>
  <c r="X59" i="24"/>
  <c r="AE59" i="24"/>
  <c r="I60" i="24"/>
  <c r="X60" i="24"/>
  <c r="AE60" i="24"/>
  <c r="I61" i="24"/>
  <c r="X61" i="24"/>
  <c r="AE61" i="24"/>
  <c r="I62" i="24"/>
  <c r="X62" i="24"/>
  <c r="AE62" i="24"/>
  <c r="I63" i="24"/>
  <c r="X63" i="24"/>
  <c r="AE63" i="24"/>
  <c r="I64" i="24"/>
  <c r="X64" i="24"/>
  <c r="AE64" i="24"/>
  <c r="I65" i="24"/>
  <c r="X65" i="24"/>
  <c r="AE65" i="24"/>
  <c r="I66" i="24"/>
  <c r="X66" i="24"/>
  <c r="AE66" i="24"/>
  <c r="I67" i="24"/>
  <c r="X67" i="24"/>
  <c r="AE67" i="24"/>
  <c r="I68" i="24"/>
  <c r="X68" i="24"/>
  <c r="AE68" i="24"/>
  <c r="I69" i="24"/>
  <c r="X69" i="24"/>
  <c r="AE69" i="24"/>
  <c r="BE69" i="24" s="1"/>
  <c r="I70" i="24"/>
  <c r="X70" i="24"/>
  <c r="AE70" i="24"/>
  <c r="I71" i="24"/>
  <c r="X71" i="24"/>
  <c r="AE71" i="24"/>
  <c r="I72" i="24"/>
  <c r="X72" i="24"/>
  <c r="AE72" i="24"/>
  <c r="I73" i="24"/>
  <c r="X73" i="24"/>
  <c r="AE73" i="24"/>
  <c r="I74" i="24"/>
  <c r="X74" i="24"/>
  <c r="AE74" i="24"/>
  <c r="I75" i="24"/>
  <c r="X75" i="24"/>
  <c r="AE75" i="24"/>
  <c r="I76" i="24"/>
  <c r="X76" i="24"/>
  <c r="AE76" i="24"/>
  <c r="I77" i="24"/>
  <c r="X77" i="24"/>
  <c r="AE77" i="24"/>
  <c r="I78" i="24"/>
  <c r="X78" i="24"/>
  <c r="AE78" i="24"/>
  <c r="I79" i="24"/>
  <c r="X79" i="24"/>
  <c r="AE79" i="24"/>
  <c r="I14" i="25"/>
  <c r="X14" i="25"/>
  <c r="AE14" i="25"/>
  <c r="I15" i="25"/>
  <c r="X15" i="25"/>
  <c r="AE15" i="25"/>
  <c r="I16" i="25"/>
  <c r="X16" i="25"/>
  <c r="AE16" i="25"/>
  <c r="I17" i="25"/>
  <c r="X17" i="25"/>
  <c r="AE17" i="25"/>
  <c r="BE17" i="25" s="1"/>
  <c r="I18" i="25"/>
  <c r="X18" i="25"/>
  <c r="AE18" i="25"/>
  <c r="I19" i="25"/>
  <c r="X19" i="25"/>
  <c r="AE19" i="25"/>
  <c r="I20" i="25"/>
  <c r="X20" i="25"/>
  <c r="AE20" i="25"/>
  <c r="I21" i="25"/>
  <c r="X21" i="25"/>
  <c r="AE21" i="25"/>
  <c r="I22" i="25"/>
  <c r="X22" i="25"/>
  <c r="AE22" i="25"/>
  <c r="I23" i="25"/>
  <c r="X23" i="25"/>
  <c r="AE23" i="25"/>
  <c r="BE23" i="25" s="1"/>
  <c r="I24" i="25"/>
  <c r="X24" i="25"/>
  <c r="AE24" i="25"/>
  <c r="I25" i="25"/>
  <c r="X25" i="25"/>
  <c r="AE25" i="25"/>
  <c r="BE25" i="25" s="1"/>
  <c r="I26" i="25"/>
  <c r="X26" i="25"/>
  <c r="AE26" i="25"/>
  <c r="I27" i="25"/>
  <c r="X27" i="25"/>
  <c r="AE27" i="25"/>
  <c r="I28" i="25"/>
  <c r="X28" i="25"/>
  <c r="AE28" i="25"/>
  <c r="I29" i="25"/>
  <c r="X29" i="25"/>
  <c r="AE29" i="25"/>
  <c r="I30" i="25"/>
  <c r="X30" i="25"/>
  <c r="AE30" i="25"/>
  <c r="I31" i="25"/>
  <c r="X31" i="25"/>
  <c r="AE31" i="25"/>
  <c r="I32" i="25"/>
  <c r="X32" i="25"/>
  <c r="AE32" i="25"/>
  <c r="I33" i="25"/>
  <c r="X33" i="25"/>
  <c r="AE33" i="25"/>
  <c r="I34" i="25"/>
  <c r="X34" i="25"/>
  <c r="AE34" i="25"/>
  <c r="I35" i="25"/>
  <c r="X35" i="25"/>
  <c r="AE35" i="25"/>
  <c r="I36" i="25"/>
  <c r="X36" i="25"/>
  <c r="AE36" i="25"/>
  <c r="I37" i="25"/>
  <c r="X37" i="25"/>
  <c r="AE37" i="25"/>
  <c r="I38" i="25"/>
  <c r="X38" i="25"/>
  <c r="AE38" i="25"/>
  <c r="I39" i="25"/>
  <c r="X39" i="25"/>
  <c r="AE39" i="25"/>
  <c r="I40" i="25"/>
  <c r="X40" i="25"/>
  <c r="AE40" i="25"/>
  <c r="I41" i="25"/>
  <c r="X41" i="25"/>
  <c r="AE41" i="25"/>
  <c r="I42" i="25"/>
  <c r="X42" i="25"/>
  <c r="AE42" i="25"/>
  <c r="I43" i="25"/>
  <c r="X43" i="25"/>
  <c r="AE43" i="25"/>
  <c r="I44" i="25"/>
  <c r="X44" i="25"/>
  <c r="AE44" i="25"/>
  <c r="I45" i="25"/>
  <c r="X45" i="25"/>
  <c r="AE45" i="25"/>
  <c r="I46" i="25"/>
  <c r="X46" i="25"/>
  <c r="AE46" i="25"/>
  <c r="I47" i="25"/>
  <c r="X47" i="25"/>
  <c r="AE47" i="25"/>
  <c r="I48" i="25"/>
  <c r="X48" i="25"/>
  <c r="AE48" i="25"/>
  <c r="I49" i="25"/>
  <c r="X49" i="25"/>
  <c r="AE49" i="25"/>
  <c r="I50" i="25"/>
  <c r="X50" i="25"/>
  <c r="AE50" i="25"/>
  <c r="I51" i="25"/>
  <c r="X51" i="25"/>
  <c r="AE51" i="25"/>
  <c r="I52" i="25"/>
  <c r="X52" i="25"/>
  <c r="AE52" i="25"/>
  <c r="I53" i="25"/>
  <c r="X53" i="25"/>
  <c r="AE53" i="25"/>
  <c r="I54" i="25"/>
  <c r="X54" i="25"/>
  <c r="AE54" i="25"/>
  <c r="I55" i="25"/>
  <c r="X55" i="25"/>
  <c r="AE55" i="25"/>
  <c r="I56" i="25"/>
  <c r="X56" i="25"/>
  <c r="AE56" i="25"/>
  <c r="I57" i="25"/>
  <c r="X57" i="25"/>
  <c r="AE57" i="25"/>
  <c r="I58" i="25"/>
  <c r="X58" i="25"/>
  <c r="AE58" i="25"/>
  <c r="I59" i="25"/>
  <c r="X59" i="25"/>
  <c r="AE59" i="25"/>
  <c r="I60" i="25"/>
  <c r="X60" i="25"/>
  <c r="AE60" i="25"/>
  <c r="I61" i="25"/>
  <c r="X61" i="25"/>
  <c r="AE61" i="25"/>
  <c r="I62" i="25"/>
  <c r="X62" i="25"/>
  <c r="AE62" i="25"/>
  <c r="I63" i="25"/>
  <c r="X63" i="25"/>
  <c r="AE63" i="25"/>
  <c r="I64" i="25"/>
  <c r="X64" i="25"/>
  <c r="AE64" i="25"/>
  <c r="I65" i="25"/>
  <c r="X65" i="25"/>
  <c r="AE65" i="25"/>
  <c r="I66" i="25"/>
  <c r="X66" i="25"/>
  <c r="AE66" i="25"/>
  <c r="I67" i="25"/>
  <c r="X67" i="25"/>
  <c r="AE67" i="25"/>
  <c r="I68" i="25"/>
  <c r="X68" i="25"/>
  <c r="AE68" i="25"/>
  <c r="I69" i="25"/>
  <c r="X69" i="25"/>
  <c r="AE69" i="25"/>
  <c r="I70" i="25"/>
  <c r="X70" i="25"/>
  <c r="AE70" i="25"/>
  <c r="I71" i="25"/>
  <c r="X71" i="25"/>
  <c r="AE71" i="25"/>
  <c r="I72" i="25"/>
  <c r="X72" i="25"/>
  <c r="AE72" i="25"/>
  <c r="I73" i="25"/>
  <c r="X73" i="25"/>
  <c r="AE73" i="25"/>
  <c r="I74" i="25"/>
  <c r="X74" i="25"/>
  <c r="AE74" i="25"/>
  <c r="I75" i="25"/>
  <c r="X75" i="25"/>
  <c r="AE75" i="25"/>
  <c r="I76" i="25"/>
  <c r="X76" i="25"/>
  <c r="AE76" i="25"/>
  <c r="I77" i="25"/>
  <c r="X77" i="25"/>
  <c r="AE77" i="25"/>
  <c r="I78" i="25"/>
  <c r="X78" i="25"/>
  <c r="AE78" i="25"/>
  <c r="I79" i="25"/>
  <c r="X79" i="25"/>
  <c r="AE79" i="25"/>
  <c r="I80" i="25"/>
  <c r="X80" i="25"/>
  <c r="AE80" i="25"/>
  <c r="I81" i="25"/>
  <c r="X81" i="25"/>
  <c r="AE81" i="25"/>
  <c r="I82" i="25"/>
  <c r="X82" i="25"/>
  <c r="AE82" i="25"/>
  <c r="I83" i="25"/>
  <c r="X83" i="25"/>
  <c r="AE83" i="25"/>
  <c r="I84" i="25"/>
  <c r="X84" i="25"/>
  <c r="AE84" i="25"/>
  <c r="I85" i="25"/>
  <c r="X85" i="25"/>
  <c r="AE85" i="25"/>
  <c r="I86" i="25"/>
  <c r="X86" i="25"/>
  <c r="AE86" i="25"/>
  <c r="I87" i="25"/>
  <c r="X87" i="25"/>
  <c r="AE87" i="25"/>
  <c r="I88" i="25"/>
  <c r="X88" i="25"/>
  <c r="AE88" i="25"/>
  <c r="I89" i="25"/>
  <c r="X89" i="25"/>
  <c r="AE89" i="25"/>
  <c r="I90" i="25"/>
  <c r="X90" i="25"/>
  <c r="AE90" i="25"/>
  <c r="I91" i="25"/>
  <c r="X91" i="25"/>
  <c r="AE91" i="25"/>
  <c r="I92" i="25"/>
  <c r="X92" i="25"/>
  <c r="AE92" i="25"/>
  <c r="I93" i="25"/>
  <c r="X93" i="25"/>
  <c r="AE93" i="25"/>
  <c r="I94" i="25"/>
  <c r="X94" i="25"/>
  <c r="AE94" i="25"/>
  <c r="I95" i="25"/>
  <c r="X95" i="25"/>
  <c r="AE95" i="25"/>
  <c r="I96" i="25"/>
  <c r="X96" i="25"/>
  <c r="AE96" i="25"/>
  <c r="I97" i="25"/>
  <c r="X97" i="25"/>
  <c r="AE97" i="25"/>
  <c r="I98" i="25"/>
  <c r="X98" i="25"/>
  <c r="AE98" i="25"/>
  <c r="I99" i="25"/>
  <c r="X99" i="25"/>
  <c r="AE99" i="25"/>
  <c r="I100" i="25"/>
  <c r="X100" i="25"/>
  <c r="AE100" i="25"/>
  <c r="I101" i="25"/>
  <c r="X101" i="25"/>
  <c r="AE101" i="25"/>
  <c r="I102" i="25"/>
  <c r="X102" i="25"/>
  <c r="AE102" i="25"/>
  <c r="I103" i="25"/>
  <c r="X103" i="25"/>
  <c r="AE103" i="25"/>
  <c r="I104" i="25"/>
  <c r="X104" i="25"/>
  <c r="AE104" i="25"/>
  <c r="I105" i="25"/>
  <c r="X105" i="25"/>
  <c r="AE105" i="25"/>
  <c r="I106" i="25"/>
  <c r="X106" i="25"/>
  <c r="AE106" i="25"/>
  <c r="I107" i="25"/>
  <c r="X107" i="25"/>
  <c r="AE107" i="25"/>
  <c r="I108" i="25"/>
  <c r="X108" i="25"/>
  <c r="AE108" i="25"/>
  <c r="I109" i="25"/>
  <c r="X109" i="25"/>
  <c r="AE109" i="25"/>
  <c r="I110" i="25"/>
  <c r="X110" i="25"/>
  <c r="AE110" i="25"/>
  <c r="I111" i="25"/>
  <c r="X111" i="25"/>
  <c r="AE111" i="25"/>
  <c r="I112" i="25"/>
  <c r="X112" i="25"/>
  <c r="AE112" i="25"/>
  <c r="I113" i="25"/>
  <c r="X113" i="25"/>
  <c r="AE113" i="25"/>
  <c r="BE113" i="25" s="1"/>
  <c r="I114" i="25"/>
  <c r="X114" i="25"/>
  <c r="AE114" i="25"/>
  <c r="I115" i="25"/>
  <c r="X115" i="25"/>
  <c r="AE115" i="25"/>
  <c r="I116" i="25"/>
  <c r="X116" i="25"/>
  <c r="AE116" i="25"/>
  <c r="I117" i="25"/>
  <c r="X117" i="25"/>
  <c r="AE117" i="25"/>
  <c r="I118" i="25"/>
  <c r="X118" i="25"/>
  <c r="AE118" i="25"/>
  <c r="I119" i="25"/>
  <c r="X119" i="25"/>
  <c r="AE119" i="25"/>
  <c r="I120" i="25"/>
  <c r="X120" i="25"/>
  <c r="AE120" i="25"/>
  <c r="I121" i="25"/>
  <c r="X121" i="25"/>
  <c r="AE121" i="25"/>
  <c r="I122" i="25"/>
  <c r="X122" i="25"/>
  <c r="AE122" i="25"/>
  <c r="I123" i="25"/>
  <c r="X123" i="25"/>
  <c r="AE123" i="25"/>
  <c r="I124" i="25"/>
  <c r="X124" i="25"/>
  <c r="AE124" i="25"/>
  <c r="I125" i="25"/>
  <c r="X125" i="25"/>
  <c r="AE125" i="25"/>
  <c r="I126" i="25"/>
  <c r="X126" i="25"/>
  <c r="AE126" i="25"/>
  <c r="I127" i="25"/>
  <c r="X127" i="25"/>
  <c r="AE127" i="25"/>
  <c r="U127" i="25" s="1"/>
  <c r="H127" i="25" s="1"/>
  <c r="I128" i="25"/>
  <c r="X128" i="25"/>
  <c r="AE128" i="25"/>
  <c r="I129" i="25"/>
  <c r="X129" i="25"/>
  <c r="AE129" i="25"/>
  <c r="I130" i="25"/>
  <c r="X130" i="25"/>
  <c r="AE130" i="25"/>
  <c r="I131" i="25"/>
  <c r="X131" i="25"/>
  <c r="AE131" i="25"/>
  <c r="I132" i="25"/>
  <c r="X132" i="25"/>
  <c r="AE132" i="25"/>
  <c r="I133" i="25"/>
  <c r="X133" i="25"/>
  <c r="AE133" i="25"/>
  <c r="I134" i="25"/>
  <c r="X134" i="25"/>
  <c r="AE134" i="25"/>
  <c r="I135" i="25"/>
  <c r="X135" i="25"/>
  <c r="AE135" i="25"/>
  <c r="U135" i="25" s="1"/>
  <c r="H135" i="25" s="1"/>
  <c r="I136" i="25"/>
  <c r="X136" i="25"/>
  <c r="AE136" i="25"/>
  <c r="I137" i="25"/>
  <c r="X137" i="25"/>
  <c r="AE137" i="25"/>
  <c r="I138" i="25"/>
  <c r="X138" i="25"/>
  <c r="AE138" i="25"/>
  <c r="I139" i="25"/>
  <c r="X139" i="25"/>
  <c r="AE139" i="25"/>
  <c r="I140" i="25"/>
  <c r="X140" i="25"/>
  <c r="AE140" i="25"/>
  <c r="I141" i="25"/>
  <c r="X141" i="25"/>
  <c r="AE141" i="25"/>
  <c r="I142" i="25"/>
  <c r="X142" i="25"/>
  <c r="AE142" i="25"/>
  <c r="I143" i="25"/>
  <c r="X143" i="25"/>
  <c r="AE143" i="25"/>
  <c r="I144" i="25"/>
  <c r="X144" i="25"/>
  <c r="AE144" i="25"/>
  <c r="I145" i="25"/>
  <c r="X145" i="25"/>
  <c r="AE145" i="25"/>
  <c r="I146" i="25"/>
  <c r="X146" i="25"/>
  <c r="AE146" i="25"/>
  <c r="I147" i="25"/>
  <c r="X147" i="25"/>
  <c r="AE147" i="25"/>
  <c r="I148" i="25"/>
  <c r="X148" i="25"/>
  <c r="AE148" i="25"/>
  <c r="I149" i="25"/>
  <c r="X149" i="25"/>
  <c r="AE149" i="25"/>
  <c r="I150" i="25"/>
  <c r="X150" i="25"/>
  <c r="AE150" i="25"/>
  <c r="I151" i="25"/>
  <c r="X151" i="25"/>
  <c r="AE151" i="25"/>
  <c r="I152" i="25"/>
  <c r="X152" i="25"/>
  <c r="AE152" i="25"/>
  <c r="I153" i="25"/>
  <c r="X153" i="25"/>
  <c r="AE153" i="25"/>
  <c r="I154" i="25"/>
  <c r="X154" i="25"/>
  <c r="AE154" i="25"/>
  <c r="I155" i="25"/>
  <c r="X155" i="25"/>
  <c r="AE155" i="25"/>
  <c r="I156" i="25"/>
  <c r="X156" i="25"/>
  <c r="AE156" i="25"/>
  <c r="I157" i="25"/>
  <c r="X157" i="25"/>
  <c r="AE157" i="25"/>
  <c r="I158" i="25"/>
  <c r="X158" i="25"/>
  <c r="AE158" i="25"/>
  <c r="I159" i="25"/>
  <c r="X159" i="25"/>
  <c r="AE159" i="25"/>
  <c r="I160" i="25"/>
  <c r="X160" i="25"/>
  <c r="AE160" i="25"/>
  <c r="I161" i="25"/>
  <c r="X161" i="25"/>
  <c r="AE161" i="25"/>
  <c r="I162" i="25"/>
  <c r="X162" i="25"/>
  <c r="AE162" i="25"/>
  <c r="I163" i="25"/>
  <c r="X163" i="25"/>
  <c r="AE163" i="25"/>
  <c r="I164" i="25"/>
  <c r="X164" i="25"/>
  <c r="AE164" i="25"/>
  <c r="I165" i="25"/>
  <c r="X165" i="25"/>
  <c r="AE165" i="25"/>
  <c r="I166" i="25"/>
  <c r="X166" i="25"/>
  <c r="AE166" i="25"/>
  <c r="I167" i="25"/>
  <c r="X167" i="25"/>
  <c r="AE167" i="25"/>
  <c r="I168" i="25"/>
  <c r="X168" i="25"/>
  <c r="AE168" i="25"/>
  <c r="I169" i="25"/>
  <c r="X169" i="25"/>
  <c r="AE169" i="25"/>
  <c r="I170" i="25"/>
  <c r="X170" i="25"/>
  <c r="AE170" i="25"/>
  <c r="I171" i="25"/>
  <c r="X171" i="25"/>
  <c r="AE171" i="25"/>
  <c r="I172" i="25"/>
  <c r="X172" i="25"/>
  <c r="AE172" i="25"/>
  <c r="U172" i="25" s="1"/>
  <c r="I173" i="25"/>
  <c r="X173" i="25"/>
  <c r="AE173" i="25"/>
  <c r="I174" i="25"/>
  <c r="X174" i="25"/>
  <c r="AE174" i="25"/>
  <c r="I175" i="25"/>
  <c r="X175" i="25"/>
  <c r="AE175" i="25"/>
  <c r="I176" i="25"/>
  <c r="X176" i="25"/>
  <c r="AE176" i="25"/>
  <c r="I177" i="25"/>
  <c r="X177" i="25"/>
  <c r="AE177" i="25"/>
  <c r="I178" i="25"/>
  <c r="X178" i="25"/>
  <c r="AE178" i="25"/>
  <c r="I179" i="25"/>
  <c r="X179" i="25"/>
  <c r="AE179" i="25"/>
  <c r="I180" i="25"/>
  <c r="X180" i="25"/>
  <c r="AE180" i="25"/>
  <c r="U180" i="25" s="1"/>
  <c r="H180" i="25" s="1"/>
  <c r="W180" i="25" s="1"/>
  <c r="I181" i="25"/>
  <c r="X181" i="25"/>
  <c r="AE181" i="25"/>
  <c r="I182" i="25"/>
  <c r="X182" i="25"/>
  <c r="AE182" i="25"/>
  <c r="I183" i="25"/>
  <c r="X183" i="25"/>
  <c r="AE183" i="25"/>
  <c r="I184" i="25"/>
  <c r="X184" i="25"/>
  <c r="AE184" i="25"/>
  <c r="I185" i="25"/>
  <c r="X185" i="25"/>
  <c r="AE185" i="25"/>
  <c r="BE185" i="25"/>
  <c r="I186" i="25"/>
  <c r="X186" i="25"/>
  <c r="AE186" i="25"/>
  <c r="I187" i="25"/>
  <c r="X187" i="25"/>
  <c r="AE187" i="25"/>
  <c r="I188" i="25"/>
  <c r="X188" i="25"/>
  <c r="AE188" i="25"/>
  <c r="I189" i="25"/>
  <c r="X189" i="25"/>
  <c r="AE189" i="25"/>
  <c r="I190" i="25"/>
  <c r="X190" i="25"/>
  <c r="AE190" i="25"/>
  <c r="I191" i="25"/>
  <c r="X191" i="25"/>
  <c r="AE191" i="25"/>
  <c r="I192" i="25"/>
  <c r="X192" i="25"/>
  <c r="AE192" i="25"/>
  <c r="I193" i="25"/>
  <c r="X193" i="25"/>
  <c r="AE193" i="25"/>
  <c r="I194" i="25"/>
  <c r="X194" i="25"/>
  <c r="AE194" i="25"/>
  <c r="I14" i="17"/>
  <c r="X14" i="17"/>
  <c r="AE14" i="17"/>
  <c r="I15" i="17"/>
  <c r="X15" i="17"/>
  <c r="AE15" i="17"/>
  <c r="I16" i="17"/>
  <c r="X16" i="17"/>
  <c r="AE16" i="17"/>
  <c r="I17" i="17"/>
  <c r="X17" i="17"/>
  <c r="AE17" i="17"/>
  <c r="U17" i="17" s="1"/>
  <c r="I18" i="17"/>
  <c r="X18" i="17"/>
  <c r="AE18" i="17"/>
  <c r="I19" i="17"/>
  <c r="X19" i="17"/>
  <c r="AE19" i="17"/>
  <c r="I20" i="17"/>
  <c r="X20" i="17"/>
  <c r="AE20" i="17"/>
  <c r="I21" i="17"/>
  <c r="X21" i="17"/>
  <c r="AE21" i="17"/>
  <c r="BE21" i="17" s="1"/>
  <c r="I22" i="17"/>
  <c r="X22" i="17"/>
  <c r="AE22" i="17"/>
  <c r="I23" i="17"/>
  <c r="X23" i="17"/>
  <c r="AE23" i="17"/>
  <c r="I24" i="17"/>
  <c r="X24" i="17"/>
  <c r="AE24" i="17"/>
  <c r="I25" i="17"/>
  <c r="X25" i="17"/>
  <c r="AE25" i="17"/>
  <c r="U25" i="17" s="1"/>
  <c r="I26" i="17"/>
  <c r="X26" i="17"/>
  <c r="AE26" i="17"/>
  <c r="I27" i="17"/>
  <c r="X27" i="17"/>
  <c r="AE27" i="17"/>
  <c r="I28" i="17"/>
  <c r="X28" i="17"/>
  <c r="AE28" i="17"/>
  <c r="I29" i="17"/>
  <c r="X29" i="17"/>
  <c r="AE29" i="17"/>
  <c r="I30" i="17"/>
  <c r="X30" i="17"/>
  <c r="AE30" i="17"/>
  <c r="I31" i="17"/>
  <c r="X31" i="17"/>
  <c r="AE31" i="17"/>
  <c r="I32" i="17"/>
  <c r="X32" i="17"/>
  <c r="AE32" i="17"/>
  <c r="I33" i="17"/>
  <c r="X33" i="17"/>
  <c r="AE33" i="17"/>
  <c r="I34" i="17"/>
  <c r="X34" i="17"/>
  <c r="AE34" i="17"/>
  <c r="I35" i="17"/>
  <c r="X35" i="17"/>
  <c r="AE35" i="17"/>
  <c r="I36" i="17"/>
  <c r="X36" i="17"/>
  <c r="AE36" i="17"/>
  <c r="I37" i="17"/>
  <c r="X37" i="17"/>
  <c r="AE37" i="17"/>
  <c r="I38" i="17"/>
  <c r="X38" i="17"/>
  <c r="AE38" i="17"/>
  <c r="BE38" i="17" s="1"/>
  <c r="I39" i="17"/>
  <c r="X39" i="17"/>
  <c r="AE39" i="17"/>
  <c r="I40" i="17"/>
  <c r="X40" i="17"/>
  <c r="AE40" i="17"/>
  <c r="I41" i="17"/>
  <c r="X41" i="17"/>
  <c r="AE41" i="17"/>
  <c r="I42" i="17"/>
  <c r="X42" i="17"/>
  <c r="AE42" i="17"/>
  <c r="I43" i="17"/>
  <c r="X43" i="17"/>
  <c r="AE43" i="17"/>
  <c r="I44" i="17"/>
  <c r="X44" i="17"/>
  <c r="AE44" i="17"/>
  <c r="I45" i="17"/>
  <c r="X45" i="17"/>
  <c r="AE45" i="17"/>
  <c r="I46" i="17"/>
  <c r="X46" i="17"/>
  <c r="AE46" i="17"/>
  <c r="I47" i="17"/>
  <c r="X47" i="17"/>
  <c r="AE47" i="17"/>
  <c r="I48" i="17"/>
  <c r="X48" i="17"/>
  <c r="AE48" i="17"/>
  <c r="I49" i="17"/>
  <c r="X49" i="17"/>
  <c r="AE49" i="17"/>
  <c r="I50" i="17"/>
  <c r="X50" i="17"/>
  <c r="AE50" i="17"/>
  <c r="I51" i="17"/>
  <c r="X51" i="17"/>
  <c r="AE51" i="17"/>
  <c r="I52" i="17"/>
  <c r="X52" i="17"/>
  <c r="AE52" i="17"/>
  <c r="I53" i="17"/>
  <c r="X53" i="17"/>
  <c r="AE53" i="17"/>
  <c r="I54" i="17"/>
  <c r="X54" i="17"/>
  <c r="AE54" i="17"/>
  <c r="I55" i="17"/>
  <c r="X55" i="17"/>
  <c r="AE55" i="17"/>
  <c r="I56" i="17"/>
  <c r="X56" i="17"/>
  <c r="AE56" i="17"/>
  <c r="I57" i="17"/>
  <c r="X57" i="17"/>
  <c r="AE57" i="17"/>
  <c r="I58" i="17"/>
  <c r="X58" i="17"/>
  <c r="AE58" i="17"/>
  <c r="I59" i="17"/>
  <c r="X59" i="17"/>
  <c r="AE59" i="17"/>
  <c r="I60" i="17"/>
  <c r="X60" i="17"/>
  <c r="AE60" i="17"/>
  <c r="I61" i="17"/>
  <c r="X61" i="17"/>
  <c r="AE61" i="17"/>
  <c r="I62" i="17"/>
  <c r="X62" i="17"/>
  <c r="AE62" i="17"/>
  <c r="I63" i="17"/>
  <c r="X63" i="17"/>
  <c r="AE63" i="17"/>
  <c r="I64" i="17"/>
  <c r="X64" i="17"/>
  <c r="AE64" i="17"/>
  <c r="U64" i="17" s="1"/>
  <c r="I65" i="17"/>
  <c r="X65" i="17"/>
  <c r="AE65" i="17"/>
  <c r="I66" i="17"/>
  <c r="X66" i="17"/>
  <c r="AE66" i="17"/>
  <c r="I67" i="17"/>
  <c r="X67" i="17"/>
  <c r="AE67" i="17"/>
  <c r="I68" i="17"/>
  <c r="X68" i="17"/>
  <c r="AE68" i="17"/>
  <c r="I69" i="17"/>
  <c r="X69" i="17"/>
  <c r="AE69" i="17"/>
  <c r="I70" i="17"/>
  <c r="X70" i="17"/>
  <c r="AE70" i="17"/>
  <c r="I71" i="17"/>
  <c r="X71" i="17"/>
  <c r="AE71" i="17"/>
  <c r="I72" i="17"/>
  <c r="X72" i="17"/>
  <c r="AE72" i="17"/>
  <c r="U72" i="17" s="1"/>
  <c r="I73" i="17"/>
  <c r="X73" i="17"/>
  <c r="AE73" i="17"/>
  <c r="I74" i="17"/>
  <c r="X74" i="17"/>
  <c r="AE74" i="17"/>
  <c r="I75" i="17"/>
  <c r="X75" i="17"/>
  <c r="AE75" i="17"/>
  <c r="I76" i="17"/>
  <c r="X76" i="17"/>
  <c r="AE76" i="17"/>
  <c r="I77" i="17"/>
  <c r="X77" i="17"/>
  <c r="AE77" i="17"/>
  <c r="I78" i="17"/>
  <c r="X78" i="17"/>
  <c r="AE78" i="17"/>
  <c r="I79" i="17"/>
  <c r="BE79" i="17" s="1"/>
  <c r="X79" i="17"/>
  <c r="AE79" i="17"/>
  <c r="I80" i="17"/>
  <c r="X80" i="17"/>
  <c r="AE80" i="17"/>
  <c r="I81" i="17"/>
  <c r="X81" i="17"/>
  <c r="AE81" i="17"/>
  <c r="I82" i="17"/>
  <c r="X82" i="17"/>
  <c r="AE82" i="17"/>
  <c r="I83" i="17"/>
  <c r="X83" i="17"/>
  <c r="AE83" i="17"/>
  <c r="I84" i="17"/>
  <c r="X84" i="17"/>
  <c r="AE84" i="17"/>
  <c r="I85" i="17"/>
  <c r="X85" i="17"/>
  <c r="AE85" i="17"/>
  <c r="I86" i="17"/>
  <c r="X86" i="17"/>
  <c r="AE86" i="17"/>
  <c r="I87" i="17"/>
  <c r="BE87" i="17" s="1"/>
  <c r="X87" i="17"/>
  <c r="AE87" i="17"/>
  <c r="I88" i="17"/>
  <c r="X88" i="17"/>
  <c r="AE88" i="17"/>
  <c r="I89" i="17"/>
  <c r="X89" i="17"/>
  <c r="AE89" i="17"/>
  <c r="I90" i="17"/>
  <c r="X90" i="17"/>
  <c r="AE90" i="17"/>
  <c r="I91" i="17"/>
  <c r="X91" i="17"/>
  <c r="AE91" i="17"/>
  <c r="I92" i="17"/>
  <c r="X92" i="17"/>
  <c r="AE92" i="17"/>
  <c r="I93" i="17"/>
  <c r="X93" i="17"/>
  <c r="AE93" i="17"/>
  <c r="I94" i="17"/>
  <c r="X94" i="17"/>
  <c r="AE94" i="17"/>
  <c r="I95" i="17"/>
  <c r="X95" i="17"/>
  <c r="AE95" i="17"/>
  <c r="I96" i="17"/>
  <c r="X96" i="17"/>
  <c r="AE96" i="17"/>
  <c r="I97" i="17"/>
  <c r="X97" i="17"/>
  <c r="AE97" i="17"/>
  <c r="I98" i="17"/>
  <c r="X98" i="17"/>
  <c r="AE98" i="17"/>
  <c r="I99" i="17"/>
  <c r="X99" i="17"/>
  <c r="AE99" i="17"/>
  <c r="I100" i="17"/>
  <c r="X100" i="17"/>
  <c r="AE100" i="17"/>
  <c r="I101" i="17"/>
  <c r="X101" i="17"/>
  <c r="AE101" i="17"/>
  <c r="I102" i="17"/>
  <c r="X102" i="17"/>
  <c r="AE102" i="17"/>
  <c r="I103" i="17"/>
  <c r="X103" i="17"/>
  <c r="AE103" i="17"/>
  <c r="I104" i="17"/>
  <c r="X104" i="17"/>
  <c r="AE104" i="17"/>
  <c r="I105" i="17"/>
  <c r="X105" i="17"/>
  <c r="AE105" i="17"/>
  <c r="I106" i="17"/>
  <c r="X106" i="17"/>
  <c r="AE106" i="17"/>
  <c r="I107" i="17"/>
  <c r="X107" i="17"/>
  <c r="AE107" i="17"/>
  <c r="I108" i="17"/>
  <c r="X108" i="17"/>
  <c r="AE108" i="17"/>
  <c r="I109" i="17"/>
  <c r="X109" i="17"/>
  <c r="AE109" i="17"/>
  <c r="I110" i="17"/>
  <c r="X110" i="17"/>
  <c r="AE110" i="17"/>
  <c r="I111" i="17"/>
  <c r="X111" i="17"/>
  <c r="AE111" i="17"/>
  <c r="I112" i="17"/>
  <c r="X112" i="17"/>
  <c r="AE112" i="17"/>
  <c r="I113" i="17"/>
  <c r="X113" i="17"/>
  <c r="AE113" i="17"/>
  <c r="I114" i="17"/>
  <c r="X114" i="17"/>
  <c r="AE114" i="17"/>
  <c r="I115" i="17"/>
  <c r="X115" i="17"/>
  <c r="AE115" i="17"/>
  <c r="I116" i="17"/>
  <c r="X116" i="17"/>
  <c r="AE116" i="17"/>
  <c r="I117" i="17"/>
  <c r="X117" i="17"/>
  <c r="AE117" i="17"/>
  <c r="I118" i="17"/>
  <c r="X118" i="17"/>
  <c r="AE118" i="17"/>
  <c r="U386" i="3" l="1"/>
  <c r="U354" i="3"/>
  <c r="U153" i="25"/>
  <c r="BE123" i="25"/>
  <c r="BE58" i="3"/>
  <c r="U177" i="3"/>
  <c r="BE119" i="3"/>
  <c r="U230" i="3"/>
  <c r="BE63" i="3"/>
  <c r="BE30" i="17"/>
  <c r="BE22" i="17"/>
  <c r="BE77" i="17"/>
  <c r="BE45" i="17"/>
  <c r="U123" i="3"/>
  <c r="BE325" i="3"/>
  <c r="BE309" i="3"/>
  <c r="BE54" i="3"/>
  <c r="BE224" i="3"/>
  <c r="BE53" i="3"/>
  <c r="BE45" i="3"/>
  <c r="U399" i="3"/>
  <c r="U167" i="3"/>
  <c r="BE52" i="24"/>
  <c r="BE44" i="24"/>
  <c r="BE31" i="24"/>
  <c r="BE68" i="24"/>
  <c r="AA11" i="5"/>
  <c r="BE157" i="25"/>
  <c r="BE48" i="25"/>
  <c r="BE32" i="25"/>
  <c r="AB11" i="5"/>
  <c r="BE15" i="17"/>
  <c r="BE95" i="17"/>
  <c r="BE48" i="17"/>
  <c r="M11" i="5"/>
  <c r="N11" i="5"/>
  <c r="Q11" i="5"/>
  <c r="L11" i="5"/>
  <c r="K11" i="5"/>
  <c r="P11" i="5"/>
  <c r="O11" i="5"/>
  <c r="BE73" i="24"/>
  <c r="BE59" i="24"/>
  <c r="BE64" i="24"/>
  <c r="BE71" i="24"/>
  <c r="BE78" i="24"/>
  <c r="BE57" i="24"/>
  <c r="BE62" i="24"/>
  <c r="BE54" i="24"/>
  <c r="BE49" i="24"/>
  <c r="BE75" i="24"/>
  <c r="BE60" i="24"/>
  <c r="BE55" i="24"/>
  <c r="BE45" i="24"/>
  <c r="BE36" i="24"/>
  <c r="BE26" i="24"/>
  <c r="BE38" i="24"/>
  <c r="BE72" i="24"/>
  <c r="BE34" i="24"/>
  <c r="BE66" i="24"/>
  <c r="BE61" i="24"/>
  <c r="BE41" i="24"/>
  <c r="U74" i="24"/>
  <c r="H74" i="24" s="1"/>
  <c r="BE76" i="24"/>
  <c r="BE18" i="24"/>
  <c r="BE24" i="24"/>
  <c r="BE67" i="24"/>
  <c r="BE79" i="24"/>
  <c r="BE56" i="24"/>
  <c r="BE70" i="24"/>
  <c r="U58" i="24"/>
  <c r="H58" i="24" s="1"/>
  <c r="BE46" i="24"/>
  <c r="BE17" i="24"/>
  <c r="BE77" i="24"/>
  <c r="BE63" i="24"/>
  <c r="BE50" i="24"/>
  <c r="BE43" i="24"/>
  <c r="BE22" i="24"/>
  <c r="U48" i="24"/>
  <c r="H48" i="24" s="1"/>
  <c r="U46" i="24"/>
  <c r="H46" i="24" s="1"/>
  <c r="U24" i="24"/>
  <c r="U22" i="24"/>
  <c r="U66" i="24"/>
  <c r="H66" i="24" s="1"/>
  <c r="U78" i="24"/>
  <c r="H78" i="24" s="1"/>
  <c r="U62" i="24"/>
  <c r="H62" i="24" s="1"/>
  <c r="U39" i="24"/>
  <c r="U37" i="24"/>
  <c r="H37" i="24" s="1"/>
  <c r="U71" i="24"/>
  <c r="U55" i="24"/>
  <c r="H55" i="24" s="1"/>
  <c r="U32" i="24"/>
  <c r="U30" i="24"/>
  <c r="U15" i="24"/>
  <c r="H15" i="24" s="1"/>
  <c r="U45" i="24"/>
  <c r="H45" i="24" s="1"/>
  <c r="U21" i="24"/>
  <c r="H21" i="24" s="1"/>
  <c r="U67" i="24"/>
  <c r="H67" i="24" s="1"/>
  <c r="U70" i="24"/>
  <c r="BE65" i="24"/>
  <c r="U54" i="24"/>
  <c r="U40" i="24"/>
  <c r="BE27" i="24"/>
  <c r="BE16" i="24"/>
  <c r="U75" i="24"/>
  <c r="U59" i="24"/>
  <c r="H59" i="24" s="1"/>
  <c r="U47" i="24"/>
  <c r="BE29" i="24"/>
  <c r="U38" i="24"/>
  <c r="H38" i="24" s="1"/>
  <c r="U79" i="24"/>
  <c r="BE74" i="24"/>
  <c r="U63" i="24"/>
  <c r="BE58" i="24"/>
  <c r="BE51" i="24"/>
  <c r="BE42" i="24"/>
  <c r="BE33" i="24"/>
  <c r="U31" i="24"/>
  <c r="H31" i="24" s="1"/>
  <c r="U29" i="24"/>
  <c r="H29" i="24" s="1"/>
  <c r="U16" i="24"/>
  <c r="U128" i="25"/>
  <c r="H128" i="25" s="1"/>
  <c r="U123" i="25"/>
  <c r="H123" i="25" s="1"/>
  <c r="W123" i="25" s="1"/>
  <c r="U107" i="25"/>
  <c r="BE50" i="25"/>
  <c r="BE111" i="25"/>
  <c r="BE98" i="25"/>
  <c r="BE121" i="25"/>
  <c r="BE176" i="25"/>
  <c r="BE155" i="25"/>
  <c r="BE194" i="25"/>
  <c r="U167" i="25"/>
  <c r="H167" i="25" s="1"/>
  <c r="BE109" i="25"/>
  <c r="BE101" i="25"/>
  <c r="BE81" i="25"/>
  <c r="BE55" i="25"/>
  <c r="BE34" i="25"/>
  <c r="BE118" i="25"/>
  <c r="U110" i="25"/>
  <c r="H110" i="25" s="1"/>
  <c r="W110" i="25" s="1"/>
  <c r="BE97" i="25"/>
  <c r="BE53" i="25"/>
  <c r="BE102" i="25"/>
  <c r="BE154" i="25"/>
  <c r="BE146" i="25"/>
  <c r="H153" i="25"/>
  <c r="V153" i="25" s="1"/>
  <c r="BE93" i="25"/>
  <c r="BE85" i="25"/>
  <c r="BE61" i="25"/>
  <c r="U181" i="25"/>
  <c r="H181" i="25" s="1"/>
  <c r="V181" i="25" s="1"/>
  <c r="BE174" i="25"/>
  <c r="BE90" i="25"/>
  <c r="BE64" i="25"/>
  <c r="BE56" i="25"/>
  <c r="U122" i="25"/>
  <c r="H122" i="25" s="1"/>
  <c r="W122" i="25" s="1"/>
  <c r="BE163" i="25"/>
  <c r="U160" i="25"/>
  <c r="H160" i="25" s="1"/>
  <c r="V160" i="25" s="1"/>
  <c r="BE132" i="25"/>
  <c r="U129" i="25"/>
  <c r="H129" i="25" s="1"/>
  <c r="W129" i="25" s="1"/>
  <c r="BE124" i="25"/>
  <c r="BE117" i="25"/>
  <c r="BE104" i="25"/>
  <c r="BE119" i="25"/>
  <c r="BE165" i="25"/>
  <c r="U163" i="25"/>
  <c r="H163" i="25" s="1"/>
  <c r="W163" i="25" s="1"/>
  <c r="U140" i="25"/>
  <c r="H140" i="25" s="1"/>
  <c r="W140" i="25" s="1"/>
  <c r="U117" i="25"/>
  <c r="H117" i="25" s="1"/>
  <c r="V117" i="25" s="1"/>
  <c r="BE112" i="25"/>
  <c r="BE39" i="25"/>
  <c r="BE26" i="25"/>
  <c r="BE18" i="25"/>
  <c r="U188" i="25"/>
  <c r="H188" i="25" s="1"/>
  <c r="U162" i="25"/>
  <c r="H162" i="25" s="1"/>
  <c r="V162" i="25" s="1"/>
  <c r="BE66" i="25"/>
  <c r="BE37" i="25"/>
  <c r="BE168" i="25"/>
  <c r="BE129" i="25"/>
  <c r="BE188" i="25"/>
  <c r="BE173" i="25"/>
  <c r="BE182" i="25"/>
  <c r="H172" i="25"/>
  <c r="V172" i="25" s="1"/>
  <c r="BE139" i="25"/>
  <c r="BE125" i="25"/>
  <c r="BE74" i="25"/>
  <c r="BE45" i="25"/>
  <c r="U192" i="25"/>
  <c r="H192" i="25" s="1"/>
  <c r="W192" i="25" s="1"/>
  <c r="BE159" i="25"/>
  <c r="U156" i="25"/>
  <c r="H156" i="25" s="1"/>
  <c r="V156" i="25" s="1"/>
  <c r="U154" i="25"/>
  <c r="H154" i="25" s="1"/>
  <c r="V154" i="25" s="1"/>
  <c r="BE149" i="25"/>
  <c r="U130" i="25"/>
  <c r="H130" i="25" s="1"/>
  <c r="W130" i="25" s="1"/>
  <c r="U120" i="25"/>
  <c r="H120" i="25" s="1"/>
  <c r="W120" i="25" s="1"/>
  <c r="BE79" i="25"/>
  <c r="BE73" i="25"/>
  <c r="BE71" i="25"/>
  <c r="BE57" i="25"/>
  <c r="U119" i="25"/>
  <c r="H119" i="25" s="1"/>
  <c r="U185" i="25"/>
  <c r="H185" i="25" s="1"/>
  <c r="V185" i="25" s="1"/>
  <c r="U164" i="25"/>
  <c r="H164" i="25" s="1"/>
  <c r="W164" i="25" s="1"/>
  <c r="BE63" i="25"/>
  <c r="BE40" i="25"/>
  <c r="U165" i="25"/>
  <c r="H165" i="25" s="1"/>
  <c r="V165" i="25" s="1"/>
  <c r="U141" i="25"/>
  <c r="H141" i="25" s="1"/>
  <c r="W141" i="25" s="1"/>
  <c r="U66" i="25"/>
  <c r="H66" i="25" s="1"/>
  <c r="W66" i="25" s="1"/>
  <c r="U190" i="25"/>
  <c r="H190" i="25" s="1"/>
  <c r="V190" i="25" s="1"/>
  <c r="BE31" i="25"/>
  <c r="BE190" i="25"/>
  <c r="BE158" i="25"/>
  <c r="U148" i="25"/>
  <c r="H148" i="25" s="1"/>
  <c r="W148" i="25" s="1"/>
  <c r="U143" i="25"/>
  <c r="H143" i="25" s="1"/>
  <c r="V143" i="25" s="1"/>
  <c r="U133" i="25"/>
  <c r="H133" i="25" s="1"/>
  <c r="W133" i="25" s="1"/>
  <c r="BE131" i="25"/>
  <c r="U111" i="25"/>
  <c r="H111" i="25" s="1"/>
  <c r="V111" i="25" s="1"/>
  <c r="BE58" i="25"/>
  <c r="BE38" i="25"/>
  <c r="U189" i="25"/>
  <c r="H189" i="25" s="1"/>
  <c r="BE179" i="25"/>
  <c r="U174" i="25"/>
  <c r="H174" i="25" s="1"/>
  <c r="V174" i="25" s="1"/>
  <c r="BE162" i="25"/>
  <c r="U155" i="25"/>
  <c r="H155" i="25" s="1"/>
  <c r="W155" i="25" s="1"/>
  <c r="BE138" i="25"/>
  <c r="U118" i="25"/>
  <c r="H118" i="25" s="1"/>
  <c r="V118" i="25" s="1"/>
  <c r="BE108" i="25"/>
  <c r="BE103" i="25"/>
  <c r="BE82" i="25"/>
  <c r="BE70" i="25"/>
  <c r="U42" i="25"/>
  <c r="H42" i="25" s="1"/>
  <c r="U104" i="25"/>
  <c r="H104" i="25" s="1"/>
  <c r="BE193" i="25"/>
  <c r="U121" i="25"/>
  <c r="H121" i="25" s="1"/>
  <c r="W121" i="25" s="1"/>
  <c r="U101" i="25"/>
  <c r="H101" i="25" s="1"/>
  <c r="V101" i="25" s="1"/>
  <c r="U58" i="25"/>
  <c r="H58" i="25" s="1"/>
  <c r="U179" i="25"/>
  <c r="H179" i="25" s="1"/>
  <c r="W179" i="25" s="1"/>
  <c r="BE160" i="25"/>
  <c r="U138" i="25"/>
  <c r="H138" i="25" s="1"/>
  <c r="W138" i="25" s="1"/>
  <c r="BE133" i="25"/>
  <c r="U108" i="25"/>
  <c r="H108" i="25" s="1"/>
  <c r="V108" i="25" s="1"/>
  <c r="U171" i="25"/>
  <c r="H171" i="25" s="1"/>
  <c r="W171" i="25" s="1"/>
  <c r="BE69" i="25"/>
  <c r="BE42" i="25"/>
  <c r="BE29" i="25"/>
  <c r="U114" i="25"/>
  <c r="H114" i="25" s="1"/>
  <c r="V114" i="25" s="1"/>
  <c r="BE114" i="25"/>
  <c r="U103" i="25"/>
  <c r="H103" i="25" s="1"/>
  <c r="V103" i="25" s="1"/>
  <c r="U98" i="25"/>
  <c r="H98" i="25" s="1"/>
  <c r="V98" i="25" s="1"/>
  <c r="BE184" i="25"/>
  <c r="U176" i="25"/>
  <c r="H176" i="25" s="1"/>
  <c r="V176" i="25" s="1"/>
  <c r="U147" i="25"/>
  <c r="H147" i="25" s="1"/>
  <c r="W147" i="25" s="1"/>
  <c r="BE145" i="25"/>
  <c r="H107" i="25"/>
  <c r="W107" i="25" s="1"/>
  <c r="BE87" i="25"/>
  <c r="U191" i="25"/>
  <c r="H191" i="25" s="1"/>
  <c r="V191" i="25" s="1"/>
  <c r="U168" i="25"/>
  <c r="H168" i="25" s="1"/>
  <c r="V168" i="25" s="1"/>
  <c r="BE142" i="25"/>
  <c r="U134" i="25"/>
  <c r="H134" i="25" s="1"/>
  <c r="V134" i="25" s="1"/>
  <c r="U132" i="25"/>
  <c r="H132" i="25" s="1"/>
  <c r="V132" i="25" s="1"/>
  <c r="U124" i="25"/>
  <c r="H124" i="25" s="1"/>
  <c r="V124" i="25" s="1"/>
  <c r="BE110" i="25"/>
  <c r="U102" i="25"/>
  <c r="H102" i="25" s="1"/>
  <c r="U99" i="25"/>
  <c r="H99" i="25" s="1"/>
  <c r="V99" i="25" s="1"/>
  <c r="BE47" i="25"/>
  <c r="BE41" i="25"/>
  <c r="BE24" i="25"/>
  <c r="U111" i="17"/>
  <c r="H111" i="17" s="1"/>
  <c r="BE106" i="17"/>
  <c r="U106" i="17"/>
  <c r="U51" i="17"/>
  <c r="BE94" i="17"/>
  <c r="BE63" i="17"/>
  <c r="U52" i="17"/>
  <c r="BE93" i="17"/>
  <c r="U96" i="17"/>
  <c r="U90" i="17"/>
  <c r="U74" i="17"/>
  <c r="U16" i="17"/>
  <c r="U108" i="17"/>
  <c r="U56" i="17"/>
  <c r="H56" i="17" s="1"/>
  <c r="BE61" i="17"/>
  <c r="U98" i="17"/>
  <c r="BE111" i="17"/>
  <c r="U113" i="17"/>
  <c r="H113" i="17" s="1"/>
  <c r="V113" i="17" s="1"/>
  <c r="BE56" i="17"/>
  <c r="U19" i="17"/>
  <c r="U24" i="17"/>
  <c r="H24" i="17" s="1"/>
  <c r="BE32" i="17"/>
  <c r="BE23" i="17"/>
  <c r="U116" i="17"/>
  <c r="U103" i="17"/>
  <c r="H103" i="17" s="1"/>
  <c r="BE69" i="17"/>
  <c r="U66" i="17"/>
  <c r="U40" i="17"/>
  <c r="U29" i="17"/>
  <c r="H29" i="17" s="1"/>
  <c r="BE24" i="17"/>
  <c r="BE78" i="17"/>
  <c r="U76" i="17"/>
  <c r="BE71" i="17"/>
  <c r="U42" i="17"/>
  <c r="BE37" i="17"/>
  <c r="U34" i="17"/>
  <c r="H34" i="17" s="1"/>
  <c r="BE29" i="17"/>
  <c r="U26" i="17"/>
  <c r="H26" i="17" s="1"/>
  <c r="U18" i="17"/>
  <c r="H18" i="17" s="1"/>
  <c r="U83" i="17"/>
  <c r="U80" i="17"/>
  <c r="BE70" i="17"/>
  <c r="BE62" i="17"/>
  <c r="BE54" i="17"/>
  <c r="U49" i="17"/>
  <c r="H49" i="17" s="1"/>
  <c r="U44" i="17"/>
  <c r="H44" i="17" s="1"/>
  <c r="U36" i="17"/>
  <c r="U28" i="17"/>
  <c r="H28" i="17" s="1"/>
  <c r="U88" i="17"/>
  <c r="U41" i="17"/>
  <c r="U100" i="17"/>
  <c r="U68" i="17"/>
  <c r="H68" i="17" s="1"/>
  <c r="U58" i="17"/>
  <c r="H58" i="17" s="1"/>
  <c r="U48" i="17"/>
  <c r="H48" i="17" s="1"/>
  <c r="U107" i="17"/>
  <c r="H107" i="17" s="1"/>
  <c r="BE16" i="17"/>
  <c r="BE108" i="17"/>
  <c r="BE115" i="17"/>
  <c r="U102" i="17"/>
  <c r="U99" i="17"/>
  <c r="H99" i="17" s="1"/>
  <c r="V99" i="17" s="1"/>
  <c r="U118" i="17"/>
  <c r="H118" i="17" s="1"/>
  <c r="BE53" i="17"/>
  <c r="U115" i="17"/>
  <c r="H115" i="17" s="1"/>
  <c r="V115" i="17" s="1"/>
  <c r="BE113" i="17"/>
  <c r="U110" i="17"/>
  <c r="U105" i="17"/>
  <c r="H105" i="17" s="1"/>
  <c r="U50" i="17"/>
  <c r="BE31" i="17"/>
  <c r="U92" i="17"/>
  <c r="BE85" i="17"/>
  <c r="U112" i="17"/>
  <c r="H112" i="17" s="1"/>
  <c r="U109" i="17"/>
  <c r="H109" i="17" s="1"/>
  <c r="U82" i="17"/>
  <c r="U117" i="17"/>
  <c r="H117" i="17" s="1"/>
  <c r="V117" i="17" s="1"/>
  <c r="U67" i="17"/>
  <c r="U35" i="17"/>
  <c r="U114" i="17"/>
  <c r="H114" i="17" s="1"/>
  <c r="U104" i="17"/>
  <c r="H104" i="17" s="1"/>
  <c r="BE99" i="17"/>
  <c r="U84" i="17"/>
  <c r="BE40" i="17"/>
  <c r="BE35" i="17"/>
  <c r="U27" i="17"/>
  <c r="BE104" i="17"/>
  <c r="U101" i="17"/>
  <c r="H101" i="17" s="1"/>
  <c r="V101" i="17" s="1"/>
  <c r="BE86" i="17"/>
  <c r="BE46" i="17"/>
  <c r="BE39" i="17"/>
  <c r="U32" i="17"/>
  <c r="BE118" i="17"/>
  <c r="BE109" i="17"/>
  <c r="BE102" i="17"/>
  <c r="U89" i="17"/>
  <c r="H89" i="17" s="1"/>
  <c r="U73" i="17"/>
  <c r="H73" i="17" s="1"/>
  <c r="U59" i="17"/>
  <c r="BE116" i="17"/>
  <c r="BE107" i="17"/>
  <c r="BE100" i="17"/>
  <c r="U91" i="17"/>
  <c r="U75" i="17"/>
  <c r="H75" i="17" s="1"/>
  <c r="BE59" i="17"/>
  <c r="U43" i="17"/>
  <c r="H43" i="17" s="1"/>
  <c r="U85" i="17"/>
  <c r="H85" i="17" s="1"/>
  <c r="BE114" i="17"/>
  <c r="BE105" i="17"/>
  <c r="U93" i="17"/>
  <c r="H93" i="17" s="1"/>
  <c r="U77" i="17"/>
  <c r="H77" i="17" s="1"/>
  <c r="U61" i="17"/>
  <c r="U21" i="17"/>
  <c r="H21" i="17" s="1"/>
  <c r="BE19" i="17"/>
  <c r="BE14" i="17"/>
  <c r="U69" i="17"/>
  <c r="H69" i="17" s="1"/>
  <c r="U53" i="17"/>
  <c r="U22" i="17"/>
  <c r="H22" i="17" s="1"/>
  <c r="U57" i="17"/>
  <c r="U55" i="17"/>
  <c r="H55" i="17" s="1"/>
  <c r="U37" i="17"/>
  <c r="H37" i="17" s="1"/>
  <c r="BE112" i="17"/>
  <c r="BE103" i="17"/>
  <c r="U45" i="17"/>
  <c r="U38" i="17"/>
  <c r="BE117" i="17"/>
  <c r="BE110" i="17"/>
  <c r="BE101" i="17"/>
  <c r="U97" i="17"/>
  <c r="H97" i="17" s="1"/>
  <c r="U81" i="17"/>
  <c r="H81" i="17" s="1"/>
  <c r="U65" i="17"/>
  <c r="H65" i="17" s="1"/>
  <c r="U60" i="17"/>
  <c r="U47" i="17"/>
  <c r="H47" i="17" s="1"/>
  <c r="U33" i="17"/>
  <c r="H33" i="17" s="1"/>
  <c r="U20" i="17"/>
  <c r="U14" i="17"/>
  <c r="H14" i="17" s="1"/>
  <c r="BE398" i="3"/>
  <c r="BE388" i="3"/>
  <c r="BE294" i="3"/>
  <c r="BE236" i="3"/>
  <c r="BE232" i="3"/>
  <c r="BE301" i="3"/>
  <c r="U83" i="3"/>
  <c r="BE269" i="3"/>
  <c r="BE186" i="3"/>
  <c r="BE166" i="3"/>
  <c r="BE237" i="3"/>
  <c r="BE159" i="3"/>
  <c r="BE125" i="3"/>
  <c r="BE292" i="3"/>
  <c r="U268" i="3"/>
  <c r="H268" i="3" s="1"/>
  <c r="U252" i="3"/>
  <c r="BE248" i="3"/>
  <c r="BE240" i="3"/>
  <c r="BE297" i="3"/>
  <c r="BE295" i="3"/>
  <c r="BE273" i="3"/>
  <c r="BE118" i="3"/>
  <c r="BE102" i="3"/>
  <c r="BE90" i="3"/>
  <c r="BE393" i="3"/>
  <c r="BE381" i="3"/>
  <c r="BE373" i="3"/>
  <c r="BE363" i="3"/>
  <c r="BE355" i="3"/>
  <c r="BE331" i="3"/>
  <c r="U293" i="3"/>
  <c r="H293" i="3" s="1"/>
  <c r="BE249" i="3"/>
  <c r="U194" i="3"/>
  <c r="BE99" i="3"/>
  <c r="BE91" i="3"/>
  <c r="U162" i="3"/>
  <c r="H162" i="3" s="1"/>
  <c r="BE281" i="3"/>
  <c r="U154" i="3"/>
  <c r="H154" i="3" s="1"/>
  <c r="U152" i="3"/>
  <c r="H152" i="3" s="1"/>
  <c r="U146" i="3"/>
  <c r="H146" i="3" s="1"/>
  <c r="BE350" i="3"/>
  <c r="U314" i="3"/>
  <c r="H314" i="3" s="1"/>
  <c r="BE158" i="3"/>
  <c r="BE130" i="3"/>
  <c r="BE126" i="3"/>
  <c r="BE401" i="3"/>
  <c r="BE357" i="3"/>
  <c r="BE324" i="3"/>
  <c r="BE322" i="3"/>
  <c r="BE320" i="3"/>
  <c r="BE316" i="3"/>
  <c r="U298" i="3"/>
  <c r="H298" i="3" s="1"/>
  <c r="U296" i="3"/>
  <c r="H296" i="3" s="1"/>
  <c r="BE280" i="3"/>
  <c r="U213" i="3"/>
  <c r="H213" i="3" s="1"/>
  <c r="U185" i="3"/>
  <c r="H185" i="3" s="1"/>
  <c r="U82" i="3"/>
  <c r="U373" i="3"/>
  <c r="H373" i="3" s="1"/>
  <c r="V373" i="3" s="1"/>
  <c r="U371" i="3"/>
  <c r="H371" i="3" s="1"/>
  <c r="U369" i="3"/>
  <c r="H369" i="3" s="1"/>
  <c r="U335" i="3"/>
  <c r="H335" i="3" s="1"/>
  <c r="BE333" i="3"/>
  <c r="U278" i="3"/>
  <c r="H278" i="3" s="1"/>
  <c r="V278" i="3" s="1"/>
  <c r="BE221" i="3"/>
  <c r="BE185" i="3"/>
  <c r="BE181" i="3"/>
  <c r="BE169" i="3"/>
  <c r="U147" i="3"/>
  <c r="H147" i="3" s="1"/>
  <c r="U139" i="3"/>
  <c r="H139" i="3" s="1"/>
  <c r="W139" i="3" s="1"/>
  <c r="U131" i="3"/>
  <c r="H131" i="3" s="1"/>
  <c r="BE127" i="3"/>
  <c r="U75" i="3"/>
  <c r="H75" i="3" s="1"/>
  <c r="U67" i="3"/>
  <c r="U44" i="3"/>
  <c r="H44" i="3" s="1"/>
  <c r="V44" i="3" s="1"/>
  <c r="U400" i="3"/>
  <c r="H400" i="3" s="1"/>
  <c r="U281" i="3"/>
  <c r="H281" i="3" s="1"/>
  <c r="U234" i="3"/>
  <c r="H234" i="3" s="1"/>
  <c r="BE124" i="3"/>
  <c r="U104" i="3"/>
  <c r="H104" i="3" s="1"/>
  <c r="BE61" i="3"/>
  <c r="U55" i="3"/>
  <c r="H55" i="3" s="1"/>
  <c r="BE44" i="3"/>
  <c r="U343" i="3"/>
  <c r="H343" i="3" s="1"/>
  <c r="U204" i="3"/>
  <c r="H204" i="3" s="1"/>
  <c r="V204" i="3" s="1"/>
  <c r="BE410" i="3"/>
  <c r="BE404" i="3"/>
  <c r="U378" i="3"/>
  <c r="U337" i="3"/>
  <c r="H337" i="3" s="1"/>
  <c r="U190" i="3"/>
  <c r="H190" i="3" s="1"/>
  <c r="U137" i="3"/>
  <c r="H137" i="3" s="1"/>
  <c r="V137" i="3" s="1"/>
  <c r="BE374" i="3"/>
  <c r="BE341" i="3"/>
  <c r="BE339" i="3"/>
  <c r="U329" i="3"/>
  <c r="BE137" i="3"/>
  <c r="BE135" i="3"/>
  <c r="BE98" i="3"/>
  <c r="BE94" i="3"/>
  <c r="BE92" i="3"/>
  <c r="U90" i="3"/>
  <c r="H90" i="3" s="1"/>
  <c r="BE312" i="3"/>
  <c r="BE414" i="3"/>
  <c r="BE406" i="3"/>
  <c r="U212" i="3"/>
  <c r="H212" i="3" s="1"/>
  <c r="V212" i="3" s="1"/>
  <c r="U135" i="3"/>
  <c r="H135" i="3" s="1"/>
  <c r="U94" i="3"/>
  <c r="H94" i="3" s="1"/>
  <c r="V94" i="3" s="1"/>
  <c r="BE55" i="3"/>
  <c r="U360" i="3"/>
  <c r="H360" i="3" s="1"/>
  <c r="U307" i="3"/>
  <c r="H307" i="3" s="1"/>
  <c r="U231" i="3"/>
  <c r="H231" i="3" s="1"/>
  <c r="U160" i="3"/>
  <c r="U80" i="3"/>
  <c r="H80" i="3" s="1"/>
  <c r="U76" i="3"/>
  <c r="H76" i="3" s="1"/>
  <c r="U74" i="3"/>
  <c r="U66" i="3"/>
  <c r="H66" i="3" s="1"/>
  <c r="V66" i="3" s="1"/>
  <c r="U43" i="3"/>
  <c r="H43" i="3" s="1"/>
  <c r="V43" i="3" s="1"/>
  <c r="U41" i="3"/>
  <c r="H41" i="3" s="1"/>
  <c r="BE376" i="3"/>
  <c r="U401" i="3"/>
  <c r="H401" i="3" s="1"/>
  <c r="W401" i="3" s="1"/>
  <c r="BE389" i="3"/>
  <c r="BE360" i="3"/>
  <c r="BE358" i="3"/>
  <c r="BE356" i="3"/>
  <c r="BE342" i="3"/>
  <c r="BE272" i="3"/>
  <c r="BE270" i="3"/>
  <c r="BE231" i="3"/>
  <c r="BE217" i="3"/>
  <c r="BE199" i="3"/>
  <c r="BE191" i="3"/>
  <c r="BE162" i="3"/>
  <c r="BE150" i="3"/>
  <c r="BE142" i="3"/>
  <c r="BE132" i="3"/>
  <c r="BE95" i="3"/>
  <c r="BE76" i="3"/>
  <c r="BE68" i="3"/>
  <c r="BE412" i="3"/>
  <c r="BE402" i="3"/>
  <c r="U392" i="3"/>
  <c r="H392" i="3" s="1"/>
  <c r="U347" i="3"/>
  <c r="H347" i="3" s="1"/>
  <c r="U339" i="3"/>
  <c r="H339" i="3" s="1"/>
  <c r="W339" i="3" s="1"/>
  <c r="BE397" i="3"/>
  <c r="BE395" i="3"/>
  <c r="U393" i="3"/>
  <c r="H393" i="3" s="1"/>
  <c r="U379" i="3"/>
  <c r="H379" i="3" s="1"/>
  <c r="U367" i="3"/>
  <c r="H367" i="3" s="1"/>
  <c r="U346" i="3"/>
  <c r="H346" i="3" s="1"/>
  <c r="U330" i="3"/>
  <c r="H330" i="3" s="1"/>
  <c r="V330" i="3" s="1"/>
  <c r="BE326" i="3"/>
  <c r="BE278" i="3"/>
  <c r="BE268" i="3"/>
  <c r="U262" i="3"/>
  <c r="H262" i="3" s="1"/>
  <c r="U254" i="3"/>
  <c r="H254" i="3" s="1"/>
  <c r="V254" i="3" s="1"/>
  <c r="U221" i="3"/>
  <c r="H221" i="3" s="1"/>
  <c r="W221" i="3" s="1"/>
  <c r="U138" i="3"/>
  <c r="H138" i="3" s="1"/>
  <c r="V138" i="3" s="1"/>
  <c r="BE115" i="3"/>
  <c r="BE107" i="3"/>
  <c r="BE103" i="3"/>
  <c r="U91" i="3"/>
  <c r="H91" i="3" s="1"/>
  <c r="U48" i="3"/>
  <c r="U35" i="25"/>
  <c r="H35" i="25" s="1"/>
  <c r="U16" i="25"/>
  <c r="H16" i="25" s="1"/>
  <c r="BE181" i="25"/>
  <c r="BE170" i="25"/>
  <c r="U144" i="25"/>
  <c r="H144" i="25" s="1"/>
  <c r="W144" i="25" s="1"/>
  <c r="BE126" i="25"/>
  <c r="BE120" i="25"/>
  <c r="BE72" i="25"/>
  <c r="U194" i="25"/>
  <c r="H194" i="25" s="1"/>
  <c r="V194" i="25" s="1"/>
  <c r="U187" i="25"/>
  <c r="H187" i="25" s="1"/>
  <c r="W187" i="25" s="1"/>
  <c r="BE183" i="25"/>
  <c r="BE144" i="25"/>
  <c r="U137" i="25"/>
  <c r="H137" i="25" s="1"/>
  <c r="W137" i="25" s="1"/>
  <c r="U113" i="25"/>
  <c r="H113" i="25" s="1"/>
  <c r="W113" i="25" s="1"/>
  <c r="U105" i="25"/>
  <c r="H105" i="25" s="1"/>
  <c r="V105" i="25" s="1"/>
  <c r="U67" i="25"/>
  <c r="H67" i="25" s="1"/>
  <c r="U40" i="25"/>
  <c r="H40" i="25" s="1"/>
  <c r="W40" i="25" s="1"/>
  <c r="BE151" i="25"/>
  <c r="BE135" i="25"/>
  <c r="U116" i="25"/>
  <c r="H116" i="25" s="1"/>
  <c r="W116" i="25" s="1"/>
  <c r="BE99" i="25"/>
  <c r="BE89" i="25"/>
  <c r="U178" i="25"/>
  <c r="H178" i="25" s="1"/>
  <c r="V178" i="25" s="1"/>
  <c r="BE172" i="25"/>
  <c r="U161" i="25"/>
  <c r="H161" i="25" s="1"/>
  <c r="V161" i="25" s="1"/>
  <c r="U157" i="25"/>
  <c r="H157" i="25" s="1"/>
  <c r="V157" i="25" s="1"/>
  <c r="U146" i="25"/>
  <c r="H146" i="25" s="1"/>
  <c r="W146" i="25" s="1"/>
  <c r="BE116" i="25"/>
  <c r="BE86" i="25"/>
  <c r="U83" i="25"/>
  <c r="H83" i="25" s="1"/>
  <c r="V83" i="25" s="1"/>
  <c r="U50" i="25"/>
  <c r="H50" i="25" s="1"/>
  <c r="BE187" i="25"/>
  <c r="BE178" i="25"/>
  <c r="U169" i="25"/>
  <c r="H169" i="25" s="1"/>
  <c r="V169" i="25" s="1"/>
  <c r="BE167" i="25"/>
  <c r="BE161" i="25"/>
  <c r="U159" i="25"/>
  <c r="H159" i="25" s="1"/>
  <c r="V159" i="25" s="1"/>
  <c r="BE153" i="25"/>
  <c r="U150" i="25"/>
  <c r="H150" i="25" s="1"/>
  <c r="V150" i="25" s="1"/>
  <c r="BE148" i="25"/>
  <c r="U139" i="25"/>
  <c r="H139" i="25" s="1"/>
  <c r="V139" i="25" s="1"/>
  <c r="BE137" i="25"/>
  <c r="BE128" i="25"/>
  <c r="U125" i="25"/>
  <c r="H125" i="25" s="1"/>
  <c r="W125" i="25" s="1"/>
  <c r="U115" i="25"/>
  <c r="H115" i="25" s="1"/>
  <c r="W115" i="25" s="1"/>
  <c r="BE107" i="25"/>
  <c r="BE96" i="25"/>
  <c r="U64" i="25"/>
  <c r="H64" i="25" s="1"/>
  <c r="W64" i="25" s="1"/>
  <c r="BE62" i="25"/>
  <c r="U59" i="25"/>
  <c r="H59" i="25" s="1"/>
  <c r="V59" i="25" s="1"/>
  <c r="U48" i="25"/>
  <c r="H48" i="25" s="1"/>
  <c r="W48" i="25" s="1"/>
  <c r="BE46" i="25"/>
  <c r="U43" i="25"/>
  <c r="H43" i="25" s="1"/>
  <c r="U32" i="25"/>
  <c r="H32" i="25" s="1"/>
  <c r="W32" i="25" s="1"/>
  <c r="BE30" i="25"/>
  <c r="U27" i="25"/>
  <c r="H27" i="25" s="1"/>
  <c r="U151" i="25"/>
  <c r="H151" i="25" s="1"/>
  <c r="W151" i="25" s="1"/>
  <c r="U131" i="25"/>
  <c r="H131" i="25" s="1"/>
  <c r="W131" i="25" s="1"/>
  <c r="BE94" i="25"/>
  <c r="U74" i="25"/>
  <c r="H74" i="25" s="1"/>
  <c r="W74" i="25" s="1"/>
  <c r="BE169" i="25"/>
  <c r="BE164" i="25"/>
  <c r="BE150" i="25"/>
  <c r="BE141" i="25"/>
  <c r="BE88" i="25"/>
  <c r="BE15" i="25"/>
  <c r="BE191" i="25"/>
  <c r="BE189" i="25"/>
  <c r="U186" i="25"/>
  <c r="H186" i="25" s="1"/>
  <c r="V186" i="25" s="1"/>
  <c r="U182" i="25"/>
  <c r="H182" i="25" s="1"/>
  <c r="V182" i="25" s="1"/>
  <c r="BE180" i="25"/>
  <c r="U177" i="25"/>
  <c r="H177" i="25" s="1"/>
  <c r="W177" i="25" s="1"/>
  <c r="U175" i="25"/>
  <c r="H175" i="25" s="1"/>
  <c r="V175" i="25" s="1"/>
  <c r="U166" i="25"/>
  <c r="H166" i="25" s="1"/>
  <c r="V166" i="25" s="1"/>
  <c r="U152" i="25"/>
  <c r="H152" i="25" s="1"/>
  <c r="V152" i="25" s="1"/>
  <c r="BE143" i="25"/>
  <c r="BE140" i="25"/>
  <c r="U136" i="25"/>
  <c r="H136" i="25" s="1"/>
  <c r="V136" i="25" s="1"/>
  <c r="BE130" i="25"/>
  <c r="BE115" i="25"/>
  <c r="U106" i="25"/>
  <c r="H106" i="25" s="1"/>
  <c r="W106" i="25" s="1"/>
  <c r="U100" i="25"/>
  <c r="H100" i="25" s="1"/>
  <c r="V100" i="25" s="1"/>
  <c r="U90" i="25"/>
  <c r="H90" i="25" s="1"/>
  <c r="V90" i="25" s="1"/>
  <c r="BE78" i="25"/>
  <c r="U75" i="25"/>
  <c r="H75" i="25" s="1"/>
  <c r="W75" i="25" s="1"/>
  <c r="BE22" i="25"/>
  <c r="U19" i="25"/>
  <c r="H19" i="25" s="1"/>
  <c r="V19" i="25" s="1"/>
  <c r="BE14" i="25"/>
  <c r="U170" i="25"/>
  <c r="H170" i="25" s="1"/>
  <c r="V170" i="25" s="1"/>
  <c r="U126" i="25"/>
  <c r="H126" i="25" s="1"/>
  <c r="V126" i="25" s="1"/>
  <c r="U183" i="25"/>
  <c r="H183" i="25" s="1"/>
  <c r="V183" i="25" s="1"/>
  <c r="BE105" i="25"/>
  <c r="U91" i="25"/>
  <c r="H91" i="25" s="1"/>
  <c r="V91" i="25" s="1"/>
  <c r="BE192" i="25"/>
  <c r="BE147" i="25"/>
  <c r="BE134" i="25"/>
  <c r="U109" i="25"/>
  <c r="H109" i="25" s="1"/>
  <c r="W109" i="25" s="1"/>
  <c r="U193" i="25"/>
  <c r="H193" i="25" s="1"/>
  <c r="V193" i="25" s="1"/>
  <c r="BE186" i="25"/>
  <c r="U184" i="25"/>
  <c r="H184" i="25" s="1"/>
  <c r="BE177" i="25"/>
  <c r="BE175" i="25"/>
  <c r="U173" i="25"/>
  <c r="H173" i="25" s="1"/>
  <c r="W173" i="25" s="1"/>
  <c r="BE171" i="25"/>
  <c r="BE166" i="25"/>
  <c r="U158" i="25"/>
  <c r="H158" i="25" s="1"/>
  <c r="V158" i="25" s="1"/>
  <c r="BE156" i="25"/>
  <c r="BE152" i="25"/>
  <c r="U149" i="25"/>
  <c r="H149" i="25" s="1"/>
  <c r="W149" i="25" s="1"/>
  <c r="U145" i="25"/>
  <c r="H145" i="25" s="1"/>
  <c r="W145" i="25" s="1"/>
  <c r="U142" i="25"/>
  <c r="H142" i="25" s="1"/>
  <c r="V142" i="25" s="1"/>
  <c r="BE136" i="25"/>
  <c r="BE127" i="25"/>
  <c r="BE122" i="25"/>
  <c r="U112" i="25"/>
  <c r="H112" i="25" s="1"/>
  <c r="W112" i="25" s="1"/>
  <c r="BE106" i="25"/>
  <c r="BE100" i="25"/>
  <c r="BE95" i="25"/>
  <c r="U82" i="25"/>
  <c r="H82" i="25" s="1"/>
  <c r="W82" i="25" s="1"/>
  <c r="BE80" i="25"/>
  <c r="BE77" i="25"/>
  <c r="BE65" i="25"/>
  <c r="U56" i="25"/>
  <c r="H56" i="25" s="1"/>
  <c r="W56" i="25" s="1"/>
  <c r="BE54" i="25"/>
  <c r="U51" i="25"/>
  <c r="H51" i="25" s="1"/>
  <c r="V51" i="25" s="1"/>
  <c r="BE49" i="25"/>
  <c r="BE33" i="25"/>
  <c r="U24" i="25"/>
  <c r="H24" i="25" s="1"/>
  <c r="W24" i="25" s="1"/>
  <c r="BE21" i="25"/>
  <c r="BE16" i="25"/>
  <c r="U375" i="3"/>
  <c r="H375" i="3" s="1"/>
  <c r="U302" i="3"/>
  <c r="H302" i="3" s="1"/>
  <c r="U300" i="3"/>
  <c r="U285" i="3"/>
  <c r="H285" i="3" s="1"/>
  <c r="U261" i="3"/>
  <c r="H261" i="3" s="1"/>
  <c r="U253" i="3"/>
  <c r="H253" i="3" s="1"/>
  <c r="U202" i="3"/>
  <c r="H202" i="3" s="1"/>
  <c r="U196" i="3"/>
  <c r="H196" i="3" s="1"/>
  <c r="U181" i="3"/>
  <c r="H181" i="3" s="1"/>
  <c r="W181" i="3" s="1"/>
  <c r="U173" i="3"/>
  <c r="H173" i="3" s="1"/>
  <c r="V173" i="3" s="1"/>
  <c r="U171" i="3"/>
  <c r="H171" i="3" s="1"/>
  <c r="U169" i="3"/>
  <c r="H169" i="3" s="1"/>
  <c r="V169" i="3" s="1"/>
  <c r="U163" i="3"/>
  <c r="H163" i="3" s="1"/>
  <c r="U148" i="3"/>
  <c r="H148" i="3" s="1"/>
  <c r="U122" i="3"/>
  <c r="H122" i="3" s="1"/>
  <c r="V122" i="3" s="1"/>
  <c r="U103" i="3"/>
  <c r="H103" i="3" s="1"/>
  <c r="U92" i="3"/>
  <c r="H92" i="3" s="1"/>
  <c r="BE302" i="3"/>
  <c r="BE223" i="3"/>
  <c r="BE173" i="3"/>
  <c r="BE167" i="3"/>
  <c r="BE122" i="3"/>
  <c r="BE101" i="3"/>
  <c r="U51" i="3"/>
  <c r="H51" i="3" s="1"/>
  <c r="U49" i="3"/>
  <c r="H49" i="3" s="1"/>
  <c r="U60" i="3"/>
  <c r="H60" i="3" s="1"/>
  <c r="BE51" i="3"/>
  <c r="BE354" i="3"/>
  <c r="BE265" i="3"/>
  <c r="BE263" i="3"/>
  <c r="U411" i="3"/>
  <c r="H411" i="3" s="1"/>
  <c r="U382" i="3"/>
  <c r="H382" i="3" s="1"/>
  <c r="BE346" i="3"/>
  <c r="U249" i="3"/>
  <c r="H249" i="3" s="1"/>
  <c r="U245" i="3"/>
  <c r="U241" i="3"/>
  <c r="H241" i="3" s="1"/>
  <c r="BE154" i="3"/>
  <c r="U127" i="3"/>
  <c r="H127" i="3" s="1"/>
  <c r="U112" i="3"/>
  <c r="H112" i="3" s="1"/>
  <c r="BE413" i="3"/>
  <c r="BE409" i="3"/>
  <c r="BE405" i="3"/>
  <c r="BE386" i="3"/>
  <c r="BE384" i="3"/>
  <c r="BE369" i="3"/>
  <c r="U363" i="3"/>
  <c r="H363" i="3" s="1"/>
  <c r="V363" i="3" s="1"/>
  <c r="U361" i="3"/>
  <c r="H361" i="3" s="1"/>
  <c r="BE321" i="3"/>
  <c r="U313" i="3"/>
  <c r="H313" i="3" s="1"/>
  <c r="U275" i="3"/>
  <c r="H275" i="3" s="1"/>
  <c r="H245" i="3"/>
  <c r="W245" i="3" s="1"/>
  <c r="BE241" i="3"/>
  <c r="U228" i="3"/>
  <c r="H228" i="3" s="1"/>
  <c r="U211" i="3"/>
  <c r="H211" i="3" s="1"/>
  <c r="U205" i="3"/>
  <c r="H205" i="3" s="1"/>
  <c r="U184" i="3"/>
  <c r="H184" i="3" s="1"/>
  <c r="U182" i="3"/>
  <c r="H182" i="3" s="1"/>
  <c r="BE116" i="3"/>
  <c r="BE114" i="3"/>
  <c r="BE108" i="3"/>
  <c r="BE83" i="3"/>
  <c r="U73" i="3"/>
  <c r="H73" i="3" s="1"/>
  <c r="U58" i="3"/>
  <c r="H58" i="3" s="1"/>
  <c r="W58" i="3" s="1"/>
  <c r="U56" i="3"/>
  <c r="H56" i="3" s="1"/>
  <c r="BE283" i="3"/>
  <c r="BE257" i="3"/>
  <c r="U236" i="3"/>
  <c r="H236" i="3" s="1"/>
  <c r="BE202" i="3"/>
  <c r="BE392" i="3"/>
  <c r="U315" i="3"/>
  <c r="H315" i="3" s="1"/>
  <c r="U186" i="3"/>
  <c r="H186" i="3" s="1"/>
  <c r="BE165" i="3"/>
  <c r="BE156" i="3"/>
  <c r="BE138" i="3"/>
  <c r="U114" i="3"/>
  <c r="H114" i="3" s="1"/>
  <c r="U106" i="3"/>
  <c r="H106" i="3" s="1"/>
  <c r="BE380" i="3"/>
  <c r="U374" i="3"/>
  <c r="H374" i="3" s="1"/>
  <c r="W374" i="3" s="1"/>
  <c r="U370" i="3"/>
  <c r="H370" i="3" s="1"/>
  <c r="BE361" i="3"/>
  <c r="U336" i="3"/>
  <c r="H336" i="3" s="1"/>
  <c r="U305" i="3"/>
  <c r="H305" i="3" s="1"/>
  <c r="U292" i="3"/>
  <c r="H292" i="3" s="1"/>
  <c r="U284" i="3"/>
  <c r="H284" i="3" s="1"/>
  <c r="U282" i="3"/>
  <c r="H282" i="3" s="1"/>
  <c r="U273" i="3"/>
  <c r="H273" i="3" s="1"/>
  <c r="U224" i="3"/>
  <c r="H224" i="3" s="1"/>
  <c r="V224" i="3" s="1"/>
  <c r="BE209" i="3"/>
  <c r="BE205" i="3"/>
  <c r="U201" i="3"/>
  <c r="H201" i="3" s="1"/>
  <c r="U197" i="3"/>
  <c r="H197" i="3" s="1"/>
  <c r="U195" i="3"/>
  <c r="H195" i="3" s="1"/>
  <c r="BE184" i="3"/>
  <c r="U172" i="3"/>
  <c r="H172" i="3" s="1"/>
  <c r="U170" i="3"/>
  <c r="H170" i="3" s="1"/>
  <c r="U168" i="3"/>
  <c r="H168" i="3" s="1"/>
  <c r="U159" i="3"/>
  <c r="H159" i="3" s="1"/>
  <c r="U121" i="3"/>
  <c r="H121" i="3" s="1"/>
  <c r="V121" i="3" s="1"/>
  <c r="BE93" i="3"/>
  <c r="U54" i="3"/>
  <c r="H54" i="3" s="1"/>
  <c r="V54" i="3" s="1"/>
  <c r="BE43" i="3"/>
  <c r="U328" i="3"/>
  <c r="H328" i="3" s="1"/>
  <c r="BE307" i="3"/>
  <c r="U299" i="3"/>
  <c r="H299" i="3" s="1"/>
  <c r="BE288" i="3"/>
  <c r="BE256" i="3"/>
  <c r="U250" i="3"/>
  <c r="H250" i="3" s="1"/>
  <c r="U233" i="3"/>
  <c r="H233" i="3" s="1"/>
  <c r="U218" i="3"/>
  <c r="H218" i="3" s="1"/>
  <c r="BE201" i="3"/>
  <c r="U189" i="3"/>
  <c r="H189" i="3" s="1"/>
  <c r="U187" i="3"/>
  <c r="H187" i="3" s="1"/>
  <c r="BE176" i="3"/>
  <c r="BE170" i="3"/>
  <c r="U153" i="3"/>
  <c r="H153" i="3" s="1"/>
  <c r="W153" i="3" s="1"/>
  <c r="U151" i="3"/>
  <c r="H151" i="3" s="1"/>
  <c r="U149" i="3"/>
  <c r="H149" i="3" s="1"/>
  <c r="V149" i="3" s="1"/>
  <c r="BE134" i="3"/>
  <c r="U130" i="3"/>
  <c r="H130" i="3" s="1"/>
  <c r="BE123" i="3"/>
  <c r="BE121" i="3"/>
  <c r="U86" i="3"/>
  <c r="H86" i="3" s="1"/>
  <c r="V86" i="3" s="1"/>
  <c r="U84" i="3"/>
  <c r="H84" i="3" s="1"/>
  <c r="U65" i="3"/>
  <c r="H65" i="3" s="1"/>
  <c r="W65" i="3" s="1"/>
  <c r="U50" i="3"/>
  <c r="H50" i="3" s="1"/>
  <c r="BE291" i="3"/>
  <c r="BE390" i="3"/>
  <c r="BE348" i="3"/>
  <c r="U342" i="3"/>
  <c r="H342" i="3" s="1"/>
  <c r="BE329" i="3"/>
  <c r="H300" i="3"/>
  <c r="V300" i="3" s="1"/>
  <c r="U243" i="3"/>
  <c r="H243" i="3" s="1"/>
  <c r="U232" i="3"/>
  <c r="H232" i="3" s="1"/>
  <c r="BE366" i="3"/>
  <c r="U414" i="3"/>
  <c r="H414" i="3" s="1"/>
  <c r="U410" i="3"/>
  <c r="H410" i="3" s="1"/>
  <c r="U408" i="3"/>
  <c r="H408" i="3" s="1"/>
  <c r="U404" i="3"/>
  <c r="H404" i="3" s="1"/>
  <c r="U402" i="3"/>
  <c r="H402" i="3" s="1"/>
  <c r="W402" i="3" s="1"/>
  <c r="U385" i="3"/>
  <c r="H385" i="3" s="1"/>
  <c r="U383" i="3"/>
  <c r="H383" i="3" s="1"/>
  <c r="U362" i="3"/>
  <c r="H362" i="3" s="1"/>
  <c r="BE349" i="3"/>
  <c r="BE345" i="3"/>
  <c r="U320" i="3"/>
  <c r="H320" i="3" s="1"/>
  <c r="U318" i="3"/>
  <c r="H318" i="3" s="1"/>
  <c r="U246" i="3"/>
  <c r="H246" i="3" s="1"/>
  <c r="U242" i="3"/>
  <c r="H242" i="3" s="1"/>
  <c r="BE233" i="3"/>
  <c r="BE225" i="3"/>
  <c r="BE220" i="3"/>
  <c r="BE208" i="3"/>
  <c r="BE164" i="3"/>
  <c r="BE155" i="3"/>
  <c r="BE153" i="3"/>
  <c r="BE149" i="3"/>
  <c r="BE145" i="3"/>
  <c r="BE139" i="3"/>
  <c r="U115" i="3"/>
  <c r="H115" i="3" s="1"/>
  <c r="U107" i="3"/>
  <c r="H107" i="3" s="1"/>
  <c r="U105" i="3"/>
  <c r="H105" i="3" s="1"/>
  <c r="U98" i="3"/>
  <c r="H98" i="3" s="1"/>
  <c r="V98" i="3" s="1"/>
  <c r="U72" i="3"/>
  <c r="H72" i="3" s="1"/>
  <c r="BE65" i="3"/>
  <c r="BE377" i="3"/>
  <c r="H368" i="3"/>
  <c r="W368" i="3" s="1"/>
  <c r="BE313" i="3"/>
  <c r="BE284" i="3"/>
  <c r="BE214" i="3"/>
  <c r="BE382" i="3"/>
  <c r="BE365" i="3"/>
  <c r="BE330" i="3"/>
  <c r="U322" i="3"/>
  <c r="H322" i="3" s="1"/>
  <c r="BE289" i="3"/>
  <c r="BE239" i="3"/>
  <c r="U206" i="3"/>
  <c r="H206" i="3" s="1"/>
  <c r="BE200" i="3"/>
  <c r="BE189" i="3"/>
  <c r="BE187" i="3"/>
  <c r="U155" i="3"/>
  <c r="H155" i="3" s="1"/>
  <c r="U81" i="3"/>
  <c r="H81" i="3" s="1"/>
  <c r="U276" i="3"/>
  <c r="H276" i="3" s="1"/>
  <c r="BE264" i="3"/>
  <c r="BE253" i="3"/>
  <c r="U244" i="3"/>
  <c r="H244" i="3" s="1"/>
  <c r="BE228" i="3"/>
  <c r="U198" i="3"/>
  <c r="H198" i="3" s="1"/>
  <c r="U183" i="3"/>
  <c r="H183" i="3" s="1"/>
  <c r="U113" i="3"/>
  <c r="H113" i="3" s="1"/>
  <c r="U394" i="3"/>
  <c r="H394" i="3" s="1"/>
  <c r="V394" i="3" s="1"/>
  <c r="BE394" i="3"/>
  <c r="BE344" i="3"/>
  <c r="U310" i="3"/>
  <c r="H310" i="3" s="1"/>
  <c r="BE296" i="3"/>
  <c r="BE285" i="3"/>
  <c r="U260" i="3"/>
  <c r="H260" i="3" s="1"/>
  <c r="BE183" i="3"/>
  <c r="U179" i="3"/>
  <c r="H179" i="3" s="1"/>
  <c r="U372" i="3"/>
  <c r="H372" i="3" s="1"/>
  <c r="BE385" i="3"/>
  <c r="U353" i="3"/>
  <c r="H353" i="3" s="1"/>
  <c r="U327" i="3"/>
  <c r="H327" i="3" s="1"/>
  <c r="BE310" i="3"/>
  <c r="BE260" i="3"/>
  <c r="BE245" i="3"/>
  <c r="BE192" i="3"/>
  <c r="BE171" i="3"/>
  <c r="BE52" i="3"/>
  <c r="U409" i="3"/>
  <c r="H409" i="3" s="1"/>
  <c r="U405" i="3"/>
  <c r="H405" i="3" s="1"/>
  <c r="W405" i="3" s="1"/>
  <c r="U403" i="3"/>
  <c r="H403" i="3" s="1"/>
  <c r="BE396" i="3"/>
  <c r="U377" i="3"/>
  <c r="H377" i="3" s="1"/>
  <c r="BE353" i="3"/>
  <c r="U345" i="3"/>
  <c r="H345" i="3" s="1"/>
  <c r="V345" i="3" s="1"/>
  <c r="BE334" i="3"/>
  <c r="U321" i="3"/>
  <c r="H321" i="3" s="1"/>
  <c r="U304" i="3"/>
  <c r="BE300" i="3"/>
  <c r="BE261" i="3"/>
  <c r="U247" i="3"/>
  <c r="H247" i="3" s="1"/>
  <c r="U220" i="3"/>
  <c r="H220" i="3" s="1"/>
  <c r="V220" i="3" s="1"/>
  <c r="U203" i="3"/>
  <c r="H203" i="3" s="1"/>
  <c r="BE163" i="3"/>
  <c r="U129" i="3"/>
  <c r="H129" i="3" s="1"/>
  <c r="U42" i="3"/>
  <c r="H42" i="3" s="1"/>
  <c r="U407" i="3"/>
  <c r="H407" i="3" s="1"/>
  <c r="U387" i="3"/>
  <c r="H387" i="3" s="1"/>
  <c r="U384" i="3"/>
  <c r="H384" i="3" s="1"/>
  <c r="U376" i="3"/>
  <c r="H376" i="3" s="1"/>
  <c r="W376" i="3" s="1"/>
  <c r="BE371" i="3"/>
  <c r="BE352" i="3"/>
  <c r="U350" i="3"/>
  <c r="H350" i="3" s="1"/>
  <c r="V350" i="3" s="1"/>
  <c r="U338" i="3"/>
  <c r="H338" i="3" s="1"/>
  <c r="U331" i="3"/>
  <c r="H331" i="3" s="1"/>
  <c r="W331" i="3" s="1"/>
  <c r="U319" i="3"/>
  <c r="H319" i="3" s="1"/>
  <c r="U312" i="3"/>
  <c r="H312" i="3" s="1"/>
  <c r="U288" i="3"/>
  <c r="H288" i="3" s="1"/>
  <c r="W288" i="3" s="1"/>
  <c r="U283" i="3"/>
  <c r="H283" i="3" s="1"/>
  <c r="BE267" i="3"/>
  <c r="U265" i="3"/>
  <c r="H265" i="3" s="1"/>
  <c r="BE259" i="3"/>
  <c r="BE255" i="3"/>
  <c r="BE238" i="3"/>
  <c r="U235" i="3"/>
  <c r="H235" i="3" s="1"/>
  <c r="BE216" i="3"/>
  <c r="U214" i="3"/>
  <c r="H214" i="3" s="1"/>
  <c r="BE213" i="3"/>
  <c r="U176" i="3"/>
  <c r="H176" i="3" s="1"/>
  <c r="BE151" i="3"/>
  <c r="BE146" i="3"/>
  <c r="BE140" i="3"/>
  <c r="U110" i="3"/>
  <c r="H110" i="3" s="1"/>
  <c r="V110" i="3" s="1"/>
  <c r="U108" i="3"/>
  <c r="H108" i="3" s="1"/>
  <c r="BE100" i="3"/>
  <c r="BE97" i="3"/>
  <c r="BE89" i="3"/>
  <c r="BE73" i="3"/>
  <c r="BE67" i="3"/>
  <c r="BE57" i="3"/>
  <c r="U52" i="3"/>
  <c r="H52" i="3" s="1"/>
  <c r="BE49" i="3"/>
  <c r="U199" i="3"/>
  <c r="H199" i="3" s="1"/>
  <c r="W199" i="3" s="1"/>
  <c r="BE143" i="3"/>
  <c r="BE70" i="3"/>
  <c r="U63" i="3"/>
  <c r="H63" i="3" s="1"/>
  <c r="BE372" i="3"/>
  <c r="U351" i="3"/>
  <c r="H351" i="3" s="1"/>
  <c r="U341" i="3"/>
  <c r="H341" i="3" s="1"/>
  <c r="V341" i="3" s="1"/>
  <c r="BE318" i="3"/>
  <c r="U308" i="3"/>
  <c r="H308" i="3" s="1"/>
  <c r="U303" i="3"/>
  <c r="H303" i="3" s="1"/>
  <c r="U297" i="3"/>
  <c r="H297" i="3" s="1"/>
  <c r="U294" i="3"/>
  <c r="H294" i="3" s="1"/>
  <c r="U291" i="3"/>
  <c r="H291" i="3" s="1"/>
  <c r="BE287" i="3"/>
  <c r="U279" i="3"/>
  <c r="H279" i="3" s="1"/>
  <c r="U274" i="3"/>
  <c r="H274" i="3" s="1"/>
  <c r="U269" i="3"/>
  <c r="H269" i="3" s="1"/>
  <c r="W269" i="3" s="1"/>
  <c r="U266" i="3"/>
  <c r="H266" i="3" s="1"/>
  <c r="U263" i="3"/>
  <c r="H263" i="3" s="1"/>
  <c r="U258" i="3"/>
  <c r="H258" i="3" s="1"/>
  <c r="U248" i="3"/>
  <c r="H248" i="3" s="1"/>
  <c r="BE229" i="3"/>
  <c r="BE204" i="3"/>
  <c r="BE172" i="3"/>
  <c r="U145" i="3"/>
  <c r="H145" i="3" s="1"/>
  <c r="U141" i="3"/>
  <c r="H141" i="3" s="1"/>
  <c r="U116" i="3"/>
  <c r="H116" i="3" s="1"/>
  <c r="BE111" i="3"/>
  <c r="U99" i="3"/>
  <c r="H99" i="3" s="1"/>
  <c r="W99" i="3" s="1"/>
  <c r="BE86" i="3"/>
  <c r="BE79" i="3"/>
  <c r="BE74" i="3"/>
  <c r="U68" i="3"/>
  <c r="H68" i="3" s="1"/>
  <c r="U61" i="3"/>
  <c r="H61" i="3" s="1"/>
  <c r="V61" i="3" s="1"/>
  <c r="U59" i="3"/>
  <c r="H59" i="3" s="1"/>
  <c r="BE50" i="3"/>
  <c r="BE46" i="3"/>
  <c r="BE129" i="3"/>
  <c r="BE113" i="3"/>
  <c r="BE81" i="3"/>
  <c r="BE408" i="3"/>
  <c r="U406" i="3"/>
  <c r="H406" i="3" s="1"/>
  <c r="BE400" i="3"/>
  <c r="BE370" i="3"/>
  <c r="U344" i="3"/>
  <c r="H344" i="3" s="1"/>
  <c r="W344" i="3" s="1"/>
  <c r="U311" i="3"/>
  <c r="H311" i="3" s="1"/>
  <c r="U306" i="3"/>
  <c r="H306" i="3" s="1"/>
  <c r="U277" i="3"/>
  <c r="H277" i="3" s="1"/>
  <c r="U264" i="3"/>
  <c r="H264" i="3" s="1"/>
  <c r="U256" i="3"/>
  <c r="H256" i="3" s="1"/>
  <c r="W256" i="3" s="1"/>
  <c r="U251" i="3"/>
  <c r="H251" i="3" s="1"/>
  <c r="U237" i="3"/>
  <c r="H237" i="3" s="1"/>
  <c r="W237" i="3" s="1"/>
  <c r="U219" i="3"/>
  <c r="H219" i="3" s="1"/>
  <c r="U215" i="3"/>
  <c r="H215" i="3" s="1"/>
  <c r="BE212" i="3"/>
  <c r="U192" i="3"/>
  <c r="H192" i="3" s="1"/>
  <c r="V192" i="3" s="1"/>
  <c r="U161" i="3"/>
  <c r="H161" i="3" s="1"/>
  <c r="BE131" i="3"/>
  <c r="BE66" i="3"/>
  <c r="U64" i="3"/>
  <c r="H64" i="3" s="1"/>
  <c r="BE62" i="3"/>
  <c r="U46" i="3"/>
  <c r="H46" i="3" s="1"/>
  <c r="BE42" i="3"/>
  <c r="U40" i="3"/>
  <c r="H40" i="3" s="1"/>
  <c r="BE133" i="3"/>
  <c r="BE368" i="3"/>
  <c r="U352" i="3"/>
  <c r="H352" i="3" s="1"/>
  <c r="BE347" i="3"/>
  <c r="U340" i="3"/>
  <c r="H340" i="3" s="1"/>
  <c r="BE328" i="3"/>
  <c r="U326" i="3"/>
  <c r="H326" i="3" s="1"/>
  <c r="BE317" i="3"/>
  <c r="BE314" i="3"/>
  <c r="U309" i="3"/>
  <c r="H309" i="3" s="1"/>
  <c r="V309" i="3" s="1"/>
  <c r="U295" i="3"/>
  <c r="H295" i="3" s="1"/>
  <c r="U290" i="3"/>
  <c r="H290" i="3" s="1"/>
  <c r="U280" i="3"/>
  <c r="H280" i="3" s="1"/>
  <c r="V280" i="3" s="1"/>
  <c r="U267" i="3"/>
  <c r="H267" i="3" s="1"/>
  <c r="U259" i="3"/>
  <c r="H259" i="3" s="1"/>
  <c r="BE254" i="3"/>
  <c r="U227" i="3"/>
  <c r="H227" i="3" s="1"/>
  <c r="U225" i="3"/>
  <c r="H225" i="3" s="1"/>
  <c r="U208" i="3"/>
  <c r="H208" i="3" s="1"/>
  <c r="V208" i="3" s="1"/>
  <c r="BE193" i="3"/>
  <c r="BE174" i="3"/>
  <c r="BE157" i="3"/>
  <c r="BE148" i="3"/>
  <c r="U140" i="3"/>
  <c r="H140" i="3" s="1"/>
  <c r="U128" i="3"/>
  <c r="H128" i="3" s="1"/>
  <c r="BE110" i="3"/>
  <c r="U97" i="3"/>
  <c r="H97" i="3" s="1"/>
  <c r="U89" i="3"/>
  <c r="H89" i="3" s="1"/>
  <c r="W89" i="3" s="1"/>
  <c r="BE87" i="3"/>
  <c r="BE82" i="3"/>
  <c r="BE78" i="3"/>
  <c r="U57" i="3"/>
  <c r="H57" i="3" s="1"/>
  <c r="V57" i="3" s="1"/>
  <c r="BE47" i="3"/>
  <c r="V189" i="25"/>
  <c r="W189" i="25"/>
  <c r="W132" i="25"/>
  <c r="W127" i="25"/>
  <c r="V127" i="25"/>
  <c r="W188" i="25"/>
  <c r="V188" i="25"/>
  <c r="W135" i="25"/>
  <c r="V135" i="25"/>
  <c r="V120" i="25"/>
  <c r="W58" i="25"/>
  <c r="V58" i="25"/>
  <c r="V184" i="25"/>
  <c r="W184" i="25"/>
  <c r="V192" i="25"/>
  <c r="V167" i="25"/>
  <c r="W167" i="25"/>
  <c r="W153" i="25"/>
  <c r="W128" i="25"/>
  <c r="V128" i="25"/>
  <c r="W185" i="25"/>
  <c r="W174" i="25"/>
  <c r="V122" i="25"/>
  <c r="BE92" i="25"/>
  <c r="BE84" i="25"/>
  <c r="BE76" i="25"/>
  <c r="BE68" i="25"/>
  <c r="BE60" i="25"/>
  <c r="BE52" i="25"/>
  <c r="BE44" i="25"/>
  <c r="BE36" i="25"/>
  <c r="U34" i="25"/>
  <c r="H34" i="25" s="1"/>
  <c r="BE28" i="25"/>
  <c r="U26" i="25"/>
  <c r="H26" i="25" s="1"/>
  <c r="BE20" i="25"/>
  <c r="U18" i="25"/>
  <c r="H18" i="25" s="1"/>
  <c r="W176" i="25"/>
  <c r="V180" i="25"/>
  <c r="V123" i="25"/>
  <c r="U92" i="25"/>
  <c r="H92" i="25" s="1"/>
  <c r="V92" i="25" s="1"/>
  <c r="U84" i="25"/>
  <c r="H84" i="25" s="1"/>
  <c r="V84" i="25" s="1"/>
  <c r="U76" i="25"/>
  <c r="H76" i="25" s="1"/>
  <c r="W76" i="25" s="1"/>
  <c r="U68" i="25"/>
  <c r="H68" i="25" s="1"/>
  <c r="V68" i="25" s="1"/>
  <c r="U60" i="25"/>
  <c r="H60" i="25" s="1"/>
  <c r="W60" i="25" s="1"/>
  <c r="U52" i="25"/>
  <c r="H52" i="25" s="1"/>
  <c r="V52" i="25" s="1"/>
  <c r="U44" i="25"/>
  <c r="H44" i="25" s="1"/>
  <c r="V44" i="25" s="1"/>
  <c r="U36" i="25"/>
  <c r="H36" i="25" s="1"/>
  <c r="V36" i="25" s="1"/>
  <c r="U28" i="25"/>
  <c r="H28" i="25" s="1"/>
  <c r="V28" i="25" s="1"/>
  <c r="U20" i="25"/>
  <c r="H20" i="25" s="1"/>
  <c r="V20" i="25" s="1"/>
  <c r="BE91" i="25"/>
  <c r="BE83" i="25"/>
  <c r="BE75" i="25"/>
  <c r="BE67" i="25"/>
  <c r="BE59" i="25"/>
  <c r="BE51" i="25"/>
  <c r="BE43" i="25"/>
  <c r="BE35" i="25"/>
  <c r="BE27" i="25"/>
  <c r="U22" i="25"/>
  <c r="H22" i="25" s="1"/>
  <c r="V22" i="25" s="1"/>
  <c r="BE19" i="25"/>
  <c r="W330" i="3"/>
  <c r="BE327" i="3"/>
  <c r="BE293" i="3"/>
  <c r="BE336" i="3"/>
  <c r="BE308" i="3"/>
  <c r="BE235" i="3"/>
  <c r="BE178" i="3"/>
  <c r="BE304" i="3"/>
  <c r="H304" i="3"/>
  <c r="U289" i="3"/>
  <c r="H289" i="3" s="1"/>
  <c r="U286" i="3"/>
  <c r="H286" i="3" s="1"/>
  <c r="BE252" i="3"/>
  <c r="H252" i="3"/>
  <c r="H230" i="3"/>
  <c r="BE211" i="3"/>
  <c r="BE206" i="3"/>
  <c r="BE197" i="3"/>
  <c r="BE315" i="3"/>
  <c r="BE286" i="3"/>
  <c r="BE277" i="3"/>
  <c r="BE271" i="3"/>
  <c r="BE340" i="3"/>
  <c r="BE407" i="3"/>
  <c r="BE403" i="3"/>
  <c r="H354" i="3"/>
  <c r="BE338" i="3"/>
  <c r="U334" i="3"/>
  <c r="H334" i="3" s="1"/>
  <c r="U316" i="3"/>
  <c r="H316" i="3" s="1"/>
  <c r="BE305" i="3"/>
  <c r="BE246" i="3"/>
  <c r="BE242" i="3"/>
  <c r="BE203" i="3"/>
  <c r="BE168" i="3"/>
  <c r="BE391" i="3"/>
  <c r="BE378" i="3"/>
  <c r="H378" i="3"/>
  <c r="U380" i="3"/>
  <c r="H380" i="3" s="1"/>
  <c r="U366" i="3"/>
  <c r="H366" i="3" s="1"/>
  <c r="U412" i="3"/>
  <c r="H412" i="3" s="1"/>
  <c r="BE411" i="3"/>
  <c r="BE399" i="3"/>
  <c r="H399" i="3"/>
  <c r="U395" i="3"/>
  <c r="H395" i="3" s="1"/>
  <c r="U390" i="3"/>
  <c r="H390" i="3" s="1"/>
  <c r="U381" i="3"/>
  <c r="H381" i="3" s="1"/>
  <c r="U359" i="3"/>
  <c r="H359" i="3" s="1"/>
  <c r="H329" i="3"/>
  <c r="BE323" i="3"/>
  <c r="BE306" i="3"/>
  <c r="U226" i="3"/>
  <c r="H226" i="3" s="1"/>
  <c r="BE215" i="3"/>
  <c r="BE207" i="3"/>
  <c r="BE195" i="3"/>
  <c r="U389" i="3"/>
  <c r="H389" i="3" s="1"/>
  <c r="BE379" i="3"/>
  <c r="U358" i="3"/>
  <c r="H358" i="3" s="1"/>
  <c r="U413" i="3"/>
  <c r="H413" i="3" s="1"/>
  <c r="BE387" i="3"/>
  <c r="BE367" i="3"/>
  <c r="BE364" i="3"/>
  <c r="U355" i="3"/>
  <c r="H355" i="3" s="1"/>
  <c r="U349" i="3"/>
  <c r="H349" i="3" s="1"/>
  <c r="BE282" i="3"/>
  <c r="BE275" i="3"/>
  <c r="U229" i="3"/>
  <c r="H229" i="3" s="1"/>
  <c r="BE188" i="3"/>
  <c r="U398" i="3"/>
  <c r="H398" i="3" s="1"/>
  <c r="U348" i="3"/>
  <c r="H348" i="3" s="1"/>
  <c r="BE337" i="3"/>
  <c r="U391" i="3"/>
  <c r="H391" i="3" s="1"/>
  <c r="H386" i="3"/>
  <c r="BE362" i="3"/>
  <c r="BE359" i="3"/>
  <c r="BE335" i="3"/>
  <c r="BE332" i="3"/>
  <c r="U323" i="3"/>
  <c r="H323" i="3" s="1"/>
  <c r="U317" i="3"/>
  <c r="H317" i="3" s="1"/>
  <c r="BE303" i="3"/>
  <c r="BE299" i="3"/>
  <c r="BE262" i="3"/>
  <c r="BE247" i="3"/>
  <c r="BE243" i="3"/>
  <c r="BE230" i="3"/>
  <c r="U95" i="3"/>
  <c r="H95" i="3" s="1"/>
  <c r="BE298" i="3"/>
  <c r="U255" i="3"/>
  <c r="H255" i="3" s="1"/>
  <c r="U216" i="3"/>
  <c r="H216" i="3" s="1"/>
  <c r="BE196" i="3"/>
  <c r="U143" i="3"/>
  <c r="H143" i="3" s="1"/>
  <c r="H67" i="3"/>
  <c r="U388" i="3"/>
  <c r="H388" i="3" s="1"/>
  <c r="BE375" i="3"/>
  <c r="U357" i="3"/>
  <c r="H357" i="3" s="1"/>
  <c r="U356" i="3"/>
  <c r="H356" i="3" s="1"/>
  <c r="BE343" i="3"/>
  <c r="U325" i="3"/>
  <c r="H325" i="3" s="1"/>
  <c r="U324" i="3"/>
  <c r="H324" i="3" s="1"/>
  <c r="BE311" i="3"/>
  <c r="U301" i="3"/>
  <c r="H301" i="3" s="1"/>
  <c r="BE250" i="3"/>
  <c r="U210" i="3"/>
  <c r="H210" i="3" s="1"/>
  <c r="U207" i="3"/>
  <c r="H207" i="3" s="1"/>
  <c r="U180" i="3"/>
  <c r="H180" i="3" s="1"/>
  <c r="BE179" i="3"/>
  <c r="BE85" i="3"/>
  <c r="BE60" i="3"/>
  <c r="U396" i="3"/>
  <c r="H396" i="3" s="1"/>
  <c r="BE383" i="3"/>
  <c r="U365" i="3"/>
  <c r="H365" i="3" s="1"/>
  <c r="U364" i="3"/>
  <c r="H364" i="3" s="1"/>
  <c r="BE351" i="3"/>
  <c r="U333" i="3"/>
  <c r="H333" i="3" s="1"/>
  <c r="U332" i="3"/>
  <c r="H332" i="3" s="1"/>
  <c r="BE319" i="3"/>
  <c r="U287" i="3"/>
  <c r="H287" i="3" s="1"/>
  <c r="BE279" i="3"/>
  <c r="BE276" i="3"/>
  <c r="U270" i="3"/>
  <c r="H270" i="3" s="1"/>
  <c r="BE266" i="3"/>
  <c r="BE251" i="3"/>
  <c r="U217" i="3"/>
  <c r="H217" i="3" s="1"/>
  <c r="BE194" i="3"/>
  <c r="BE180" i="3"/>
  <c r="U175" i="3"/>
  <c r="H175" i="3" s="1"/>
  <c r="H167" i="3"/>
  <c r="BE109" i="3"/>
  <c r="U96" i="3"/>
  <c r="H96" i="3" s="1"/>
  <c r="U78" i="3"/>
  <c r="H78" i="3" s="1"/>
  <c r="BE71" i="3"/>
  <c r="U71" i="3"/>
  <c r="H71" i="3" s="1"/>
  <c r="U397" i="3"/>
  <c r="H397" i="3" s="1"/>
  <c r="BE274" i="3"/>
  <c r="U257" i="3"/>
  <c r="H257" i="3" s="1"/>
  <c r="BE244" i="3"/>
  <c r="U238" i="3"/>
  <c r="H238" i="3" s="1"/>
  <c r="BE234" i="3"/>
  <c r="U222" i="3"/>
  <c r="H222" i="3" s="1"/>
  <c r="BE222" i="3"/>
  <c r="BE198" i="3"/>
  <c r="U178" i="3"/>
  <c r="H178" i="3" s="1"/>
  <c r="BE80" i="3"/>
  <c r="U209" i="3"/>
  <c r="H209" i="3" s="1"/>
  <c r="U200" i="3"/>
  <c r="H200" i="3" s="1"/>
  <c r="U191" i="3"/>
  <c r="H191" i="3" s="1"/>
  <c r="U156" i="3"/>
  <c r="H156" i="3" s="1"/>
  <c r="U150" i="3"/>
  <c r="H150" i="3" s="1"/>
  <c r="BE136" i="3"/>
  <c r="H136" i="3"/>
  <c r="U117" i="3"/>
  <c r="H117" i="3" s="1"/>
  <c r="BE112" i="3"/>
  <c r="BE104" i="3"/>
  <c r="U87" i="3"/>
  <c r="H87" i="3" s="1"/>
  <c r="U62" i="3"/>
  <c r="H62" i="3" s="1"/>
  <c r="BE160" i="3"/>
  <c r="H160" i="3"/>
  <c r="BE105" i="3"/>
  <c r="BE75" i="3"/>
  <c r="BE226" i="3"/>
  <c r="U193" i="3"/>
  <c r="H193" i="3" s="1"/>
  <c r="U144" i="3"/>
  <c r="H144" i="3" s="1"/>
  <c r="U118" i="3"/>
  <c r="H118" i="3" s="1"/>
  <c r="BE117" i="3"/>
  <c r="BE106" i="3"/>
  <c r="U88" i="3"/>
  <c r="H88" i="3" s="1"/>
  <c r="H82" i="3"/>
  <c r="BE59" i="3"/>
  <c r="BE290" i="3"/>
  <c r="U272" i="3"/>
  <c r="H272" i="3" s="1"/>
  <c r="U271" i="3"/>
  <c r="H271" i="3" s="1"/>
  <c r="BE258" i="3"/>
  <c r="U240" i="3"/>
  <c r="H240" i="3" s="1"/>
  <c r="U239" i="3"/>
  <c r="H239" i="3" s="1"/>
  <c r="BE227" i="3"/>
  <c r="BE218" i="3"/>
  <c r="BE182" i="3"/>
  <c r="BE161" i="3"/>
  <c r="BE147" i="3"/>
  <c r="BE144" i="3"/>
  <c r="U142" i="3"/>
  <c r="H142" i="3" s="1"/>
  <c r="BE141" i="3"/>
  <c r="U119" i="3"/>
  <c r="H119" i="3" s="1"/>
  <c r="U111" i="3"/>
  <c r="H111" i="3" s="1"/>
  <c r="BE84" i="3"/>
  <c r="H83" i="3"/>
  <c r="U79" i="3"/>
  <c r="H79" i="3" s="1"/>
  <c r="BE69" i="3"/>
  <c r="U223" i="3"/>
  <c r="H223" i="3" s="1"/>
  <c r="BE219" i="3"/>
  <c r="BE210" i="3"/>
  <c r="BE190" i="3"/>
  <c r="BE177" i="3"/>
  <c r="U174" i="3"/>
  <c r="H174" i="3" s="1"/>
  <c r="BE128" i="3"/>
  <c r="U124" i="3"/>
  <c r="H124" i="3" s="1"/>
  <c r="U120" i="3"/>
  <c r="H120" i="3" s="1"/>
  <c r="U109" i="3"/>
  <c r="H109" i="3" s="1"/>
  <c r="U85" i="3"/>
  <c r="H85" i="3" s="1"/>
  <c r="U77" i="3"/>
  <c r="H77" i="3" s="1"/>
  <c r="U53" i="3"/>
  <c r="H53" i="3" s="1"/>
  <c r="BE48" i="3"/>
  <c r="H48" i="3"/>
  <c r="U164" i="3"/>
  <c r="H164" i="3" s="1"/>
  <c r="U157" i="3"/>
  <c r="H157" i="3" s="1"/>
  <c r="BE96" i="3"/>
  <c r="BE77" i="3"/>
  <c r="BE72" i="3"/>
  <c r="H194" i="3"/>
  <c r="U188" i="3"/>
  <c r="H188" i="3" s="1"/>
  <c r="H177" i="3"/>
  <c r="BE175" i="3"/>
  <c r="U158" i="3"/>
  <c r="H158" i="3" s="1"/>
  <c r="U132" i="3"/>
  <c r="H132" i="3" s="1"/>
  <c r="U125" i="3"/>
  <c r="H125" i="3" s="1"/>
  <c r="H123" i="3"/>
  <c r="H74" i="3"/>
  <c r="BE64" i="3"/>
  <c r="U47" i="3"/>
  <c r="H47" i="3" s="1"/>
  <c r="BE40" i="3"/>
  <c r="U126" i="3"/>
  <c r="H126" i="3" s="1"/>
  <c r="U100" i="3"/>
  <c r="H100" i="3" s="1"/>
  <c r="U93" i="3"/>
  <c r="H93" i="3" s="1"/>
  <c r="U166" i="3"/>
  <c r="H166" i="3" s="1"/>
  <c r="U165" i="3"/>
  <c r="H165" i="3" s="1"/>
  <c r="BE152" i="3"/>
  <c r="U134" i="3"/>
  <c r="H134" i="3" s="1"/>
  <c r="U133" i="3"/>
  <c r="H133" i="3" s="1"/>
  <c r="BE120" i="3"/>
  <c r="U102" i="3"/>
  <c r="H102" i="3" s="1"/>
  <c r="U101" i="3"/>
  <c r="H101" i="3" s="1"/>
  <c r="BE88" i="3"/>
  <c r="U70" i="3"/>
  <c r="H70" i="3" s="1"/>
  <c r="U69" i="3"/>
  <c r="H69" i="3" s="1"/>
  <c r="BE56" i="3"/>
  <c r="U45" i="3"/>
  <c r="H45" i="3" s="1"/>
  <c r="BE41" i="3"/>
  <c r="U51" i="24"/>
  <c r="H51" i="24" s="1"/>
  <c r="U43" i="24"/>
  <c r="H43" i="24" s="1"/>
  <c r="U35" i="24"/>
  <c r="H35" i="24" s="1"/>
  <c r="U27" i="24"/>
  <c r="H27" i="24" s="1"/>
  <c r="U19" i="24"/>
  <c r="H19" i="24" s="1"/>
  <c r="H16" i="24"/>
  <c r="U17" i="24"/>
  <c r="H17" i="24" s="1"/>
  <c r="U41" i="24"/>
  <c r="H41" i="24" s="1"/>
  <c r="U25" i="24"/>
  <c r="U76" i="24"/>
  <c r="H76" i="24" s="1"/>
  <c r="U72" i="24"/>
  <c r="H72" i="24" s="1"/>
  <c r="U68" i="24"/>
  <c r="H68" i="24" s="1"/>
  <c r="U64" i="24"/>
  <c r="H64" i="24" s="1"/>
  <c r="U60" i="24"/>
  <c r="H60" i="24" s="1"/>
  <c r="U56" i="24"/>
  <c r="H56" i="24" s="1"/>
  <c r="U52" i="24"/>
  <c r="H52" i="24" s="1"/>
  <c r="U44" i="24"/>
  <c r="H44" i="24" s="1"/>
  <c r="U36" i="24"/>
  <c r="H36" i="24" s="1"/>
  <c r="H30" i="24"/>
  <c r="U28" i="24"/>
  <c r="H28" i="24" s="1"/>
  <c r="H22" i="24"/>
  <c r="U20" i="24"/>
  <c r="H20" i="24" s="1"/>
  <c r="H25" i="24"/>
  <c r="U23" i="24"/>
  <c r="H23" i="24" s="1"/>
  <c r="H40" i="24"/>
  <c r="H32" i="24"/>
  <c r="H24" i="24"/>
  <c r="H70" i="24"/>
  <c r="H54" i="24"/>
  <c r="U49" i="24"/>
  <c r="H49" i="24" s="1"/>
  <c r="H79" i="24"/>
  <c r="H75" i="24"/>
  <c r="H71" i="24"/>
  <c r="H63" i="24"/>
  <c r="U77" i="24"/>
  <c r="H77" i="24" s="1"/>
  <c r="U73" i="24"/>
  <c r="H73" i="24" s="1"/>
  <c r="U69" i="24"/>
  <c r="H69" i="24" s="1"/>
  <c r="U65" i="24"/>
  <c r="H65" i="24" s="1"/>
  <c r="U61" i="24"/>
  <c r="H61" i="24" s="1"/>
  <c r="U57" i="24"/>
  <c r="H57" i="24" s="1"/>
  <c r="U53" i="24"/>
  <c r="H53" i="24" s="1"/>
  <c r="U50" i="24"/>
  <c r="H50" i="24" s="1"/>
  <c r="U42" i="24"/>
  <c r="H42" i="24" s="1"/>
  <c r="U34" i="24"/>
  <c r="H34" i="24" s="1"/>
  <c r="U26" i="24"/>
  <c r="H26" i="24" s="1"/>
  <c r="U18" i="24"/>
  <c r="H18" i="24" s="1"/>
  <c r="U33" i="24"/>
  <c r="H33" i="24" s="1"/>
  <c r="H47" i="24"/>
  <c r="H39" i="24"/>
  <c r="W119" i="25"/>
  <c r="V119" i="25"/>
  <c r="W111" i="25"/>
  <c r="W103" i="25"/>
  <c r="V110" i="25"/>
  <c r="V102" i="25"/>
  <c r="W102" i="25"/>
  <c r="V116" i="25"/>
  <c r="V106" i="25"/>
  <c r="W186" i="25"/>
  <c r="V112" i="25"/>
  <c r="W114" i="25"/>
  <c r="V149" i="25"/>
  <c r="V141" i="25"/>
  <c r="V133" i="25"/>
  <c r="V104" i="25"/>
  <c r="W104" i="25"/>
  <c r="U85" i="25"/>
  <c r="H85" i="25" s="1"/>
  <c r="U69" i="25"/>
  <c r="H69" i="25" s="1"/>
  <c r="U61" i="25"/>
  <c r="H61" i="25" s="1"/>
  <c r="U70" i="25"/>
  <c r="H70" i="25" s="1"/>
  <c r="V32" i="25"/>
  <c r="U93" i="25"/>
  <c r="H93" i="25" s="1"/>
  <c r="U14" i="25"/>
  <c r="H14" i="25" s="1"/>
  <c r="U95" i="25"/>
  <c r="H95" i="25" s="1"/>
  <c r="U87" i="25"/>
  <c r="H87" i="25" s="1"/>
  <c r="U79" i="25"/>
  <c r="H79" i="25" s="1"/>
  <c r="U71" i="25"/>
  <c r="H71" i="25" s="1"/>
  <c r="U63" i="25"/>
  <c r="H63" i="25" s="1"/>
  <c r="U55" i="25"/>
  <c r="H55" i="25" s="1"/>
  <c r="U47" i="25"/>
  <c r="H47" i="25" s="1"/>
  <c r="U39" i="25"/>
  <c r="H39" i="25" s="1"/>
  <c r="U31" i="25"/>
  <c r="H31" i="25" s="1"/>
  <c r="U23" i="25"/>
  <c r="H23" i="25" s="1"/>
  <c r="U15" i="25"/>
  <c r="H15" i="25" s="1"/>
  <c r="U94" i="25"/>
  <c r="H94" i="25" s="1"/>
  <c r="U86" i="25"/>
  <c r="H86" i="25" s="1"/>
  <c r="U78" i="25"/>
  <c r="H78" i="25" s="1"/>
  <c r="U62" i="25"/>
  <c r="H62" i="25" s="1"/>
  <c r="U46" i="25"/>
  <c r="H46" i="25" s="1"/>
  <c r="U30" i="25"/>
  <c r="H30" i="25" s="1"/>
  <c r="U96" i="25"/>
  <c r="H96" i="25" s="1"/>
  <c r="U88" i="25"/>
  <c r="H88" i="25" s="1"/>
  <c r="U80" i="25"/>
  <c r="H80" i="25" s="1"/>
  <c r="U72" i="25"/>
  <c r="H72" i="25" s="1"/>
  <c r="U77" i="25"/>
  <c r="H77" i="25" s="1"/>
  <c r="U53" i="25"/>
  <c r="H53" i="25" s="1"/>
  <c r="U45" i="25"/>
  <c r="H45" i="25" s="1"/>
  <c r="U37" i="25"/>
  <c r="H37" i="25" s="1"/>
  <c r="U29" i="25"/>
  <c r="H29" i="25" s="1"/>
  <c r="U21" i="25"/>
  <c r="H21" i="25" s="1"/>
  <c r="U54" i="25"/>
  <c r="H54" i="25" s="1"/>
  <c r="U38" i="25"/>
  <c r="H38" i="25" s="1"/>
  <c r="U97" i="25"/>
  <c r="H97" i="25" s="1"/>
  <c r="U89" i="25"/>
  <c r="H89" i="25" s="1"/>
  <c r="U81" i="25"/>
  <c r="H81" i="25" s="1"/>
  <c r="U73" i="25"/>
  <c r="H73" i="25" s="1"/>
  <c r="U65" i="25"/>
  <c r="H65" i="25" s="1"/>
  <c r="U57" i="25"/>
  <c r="H57" i="25" s="1"/>
  <c r="U49" i="25"/>
  <c r="H49" i="25" s="1"/>
  <c r="U41" i="25"/>
  <c r="H41" i="25" s="1"/>
  <c r="U33" i="25"/>
  <c r="H33" i="25" s="1"/>
  <c r="U25" i="25"/>
  <c r="H25" i="25" s="1"/>
  <c r="U17" i="25"/>
  <c r="H17" i="25" s="1"/>
  <c r="H91" i="17"/>
  <c r="BE91" i="17"/>
  <c r="BE18" i="17"/>
  <c r="W117" i="17"/>
  <c r="W101" i="17"/>
  <c r="BE47" i="17"/>
  <c r="H25" i="17"/>
  <c r="BE25" i="17"/>
  <c r="U23" i="17"/>
  <c r="H23" i="17" s="1"/>
  <c r="H116" i="17"/>
  <c r="H108" i="17"/>
  <c r="H100" i="17"/>
  <c r="U95" i="17"/>
  <c r="H95" i="17" s="1"/>
  <c r="U87" i="17"/>
  <c r="H87" i="17" s="1"/>
  <c r="U79" i="17"/>
  <c r="H79" i="17" s="1"/>
  <c r="U71" i="17"/>
  <c r="H71" i="17" s="1"/>
  <c r="U63" i="17"/>
  <c r="H63" i="17" s="1"/>
  <c r="U54" i="17"/>
  <c r="H54" i="17" s="1"/>
  <c r="H42" i="17"/>
  <c r="BE42" i="17"/>
  <c r="U30" i="17"/>
  <c r="H30" i="17" s="1"/>
  <c r="H83" i="17"/>
  <c r="BE83" i="17"/>
  <c r="BE96" i="17"/>
  <c r="BE88" i="17"/>
  <c r="BE80" i="17"/>
  <c r="BE72" i="17"/>
  <c r="BE64" i="17"/>
  <c r="BE58" i="17"/>
  <c r="BE49" i="17"/>
  <c r="H17" i="17"/>
  <c r="BE17" i="17"/>
  <c r="U15" i="17"/>
  <c r="H15" i="17" s="1"/>
  <c r="H98" i="17"/>
  <c r="BE98" i="17"/>
  <c r="H90" i="17"/>
  <c r="BE90" i="17"/>
  <c r="U86" i="17"/>
  <c r="H86" i="17" s="1"/>
  <c r="U78" i="17"/>
  <c r="H78" i="17" s="1"/>
  <c r="U70" i="17"/>
  <c r="H70" i="17" s="1"/>
  <c r="BE55" i="17"/>
  <c r="U39" i="17"/>
  <c r="H39" i="17" s="1"/>
  <c r="H110" i="17"/>
  <c r="H106" i="17"/>
  <c r="H102" i="17"/>
  <c r="BE97" i="17"/>
  <c r="BE89" i="17"/>
  <c r="BE81" i="17"/>
  <c r="BE73" i="17"/>
  <c r="BE65" i="17"/>
  <c r="U46" i="17"/>
  <c r="H46" i="17" s="1"/>
  <c r="BE26" i="17"/>
  <c r="BE75" i="17"/>
  <c r="H67" i="17"/>
  <c r="BE67" i="17"/>
  <c r="BE34" i="17"/>
  <c r="U94" i="17"/>
  <c r="H94" i="17" s="1"/>
  <c r="H82" i="17"/>
  <c r="BE82" i="17"/>
  <c r="H74" i="17"/>
  <c r="BE74" i="17"/>
  <c r="H66" i="17"/>
  <c r="BE66" i="17"/>
  <c r="U62" i="17"/>
  <c r="H62" i="17" s="1"/>
  <c r="H41" i="17"/>
  <c r="BE41" i="17"/>
  <c r="H57" i="17"/>
  <c r="BE57" i="17"/>
  <c r="H50" i="17"/>
  <c r="BE50" i="17"/>
  <c r="BE33" i="17"/>
  <c r="U31" i="17"/>
  <c r="H31" i="17" s="1"/>
  <c r="H96" i="17"/>
  <c r="H88" i="17"/>
  <c r="H80" i="17"/>
  <c r="H72" i="17"/>
  <c r="H64" i="17"/>
  <c r="H40" i="17"/>
  <c r="H32" i="17"/>
  <c r="H16" i="17"/>
  <c r="H92" i="17"/>
  <c r="H84" i="17"/>
  <c r="H76" i="17"/>
  <c r="H60" i="17"/>
  <c r="H52" i="17"/>
  <c r="H36" i="17"/>
  <c r="H20" i="17"/>
  <c r="H51" i="17"/>
  <c r="H27" i="17"/>
  <c r="H61" i="17"/>
  <c r="H53" i="17"/>
  <c r="BE51" i="17"/>
  <c r="H45" i="17"/>
  <c r="BE43" i="17"/>
  <c r="BE27" i="17"/>
  <c r="H59" i="17"/>
  <c r="H35" i="17"/>
  <c r="H19" i="17"/>
  <c r="BE92" i="17"/>
  <c r="BE84" i="17"/>
  <c r="BE76" i="17"/>
  <c r="BE68" i="17"/>
  <c r="BE60" i="17"/>
  <c r="BE52" i="17"/>
  <c r="BE44" i="17"/>
  <c r="H38" i="17"/>
  <c r="BE36" i="17"/>
  <c r="BE28" i="17"/>
  <c r="BE20" i="17"/>
  <c r="V269" i="3" l="1"/>
  <c r="V109" i="25"/>
  <c r="W126" i="25"/>
  <c r="W143" i="25"/>
  <c r="W158" i="25"/>
  <c r="V107" i="25"/>
  <c r="W169" i="3"/>
  <c r="W394" i="3"/>
  <c r="W94" i="3"/>
  <c r="V111" i="17"/>
  <c r="W111" i="17"/>
  <c r="W90" i="25"/>
  <c r="W139" i="25"/>
  <c r="W161" i="25"/>
  <c r="V40" i="25"/>
  <c r="W194" i="25"/>
  <c r="V147" i="25"/>
  <c r="W183" i="25"/>
  <c r="V105" i="17"/>
  <c r="W105" i="17"/>
  <c r="V45" i="24"/>
  <c r="W45" i="24"/>
  <c r="V29" i="24"/>
  <c r="W29" i="24"/>
  <c r="V37" i="24"/>
  <c r="W37" i="24"/>
  <c r="V21" i="24"/>
  <c r="W21" i="24"/>
  <c r="W100" i="25"/>
  <c r="W124" i="25"/>
  <c r="W92" i="25"/>
  <c r="W152" i="25"/>
  <c r="W101" i="25"/>
  <c r="W118" i="25"/>
  <c r="V130" i="25"/>
  <c r="W181" i="25"/>
  <c r="V179" i="25"/>
  <c r="W105" i="25"/>
  <c r="V148" i="25"/>
  <c r="V24" i="25"/>
  <c r="V187" i="25"/>
  <c r="W175" i="25"/>
  <c r="V145" i="25"/>
  <c r="W136" i="25"/>
  <c r="V131" i="25"/>
  <c r="W169" i="25"/>
  <c r="W157" i="25"/>
  <c r="W22" i="25"/>
  <c r="W20" i="25"/>
  <c r="V144" i="25"/>
  <c r="W98" i="25"/>
  <c r="V115" i="25"/>
  <c r="V76" i="25"/>
  <c r="W19" i="25"/>
  <c r="V125" i="25"/>
  <c r="W59" i="25"/>
  <c r="V140" i="25"/>
  <c r="W142" i="25"/>
  <c r="V67" i="25"/>
  <c r="W67" i="25"/>
  <c r="W43" i="25"/>
  <c r="V43" i="25"/>
  <c r="V129" i="25"/>
  <c r="V113" i="25"/>
  <c r="W178" i="25"/>
  <c r="V60" i="25"/>
  <c r="W83" i="25"/>
  <c r="V171" i="25"/>
  <c r="W172" i="25"/>
  <c r="W156" i="25"/>
  <c r="W134" i="25"/>
  <c r="W44" i="25"/>
  <c r="W182" i="25"/>
  <c r="W190" i="25"/>
  <c r="W168" i="25"/>
  <c r="W150" i="25"/>
  <c r="W154" i="25"/>
  <c r="W117" i="25"/>
  <c r="V155" i="25"/>
  <c r="V164" i="25"/>
  <c r="V173" i="25"/>
  <c r="V66" i="25"/>
  <c r="V121" i="25"/>
  <c r="W52" i="25"/>
  <c r="W108" i="25"/>
  <c r="W162" i="25"/>
  <c r="V163" i="25"/>
  <c r="W160" i="25"/>
  <c r="W191" i="25"/>
  <c r="W16" i="25"/>
  <c r="V16" i="25"/>
  <c r="W27" i="25"/>
  <c r="V27" i="25"/>
  <c r="V35" i="25"/>
  <c r="W35" i="25"/>
  <c r="V48" i="25"/>
  <c r="V137" i="25"/>
  <c r="W170" i="25"/>
  <c r="W165" i="25"/>
  <c r="V74" i="25"/>
  <c r="V151" i="25"/>
  <c r="V138" i="25"/>
  <c r="V82" i="25"/>
  <c r="W193" i="25"/>
  <c r="W99" i="25"/>
  <c r="W166" i="25"/>
  <c r="V146" i="25"/>
  <c r="V177" i="25"/>
  <c r="V56" i="25"/>
  <c r="V64" i="25"/>
  <c r="V103" i="17"/>
  <c r="W103" i="17"/>
  <c r="V107" i="17"/>
  <c r="W107" i="17"/>
  <c r="W47" i="17"/>
  <c r="V47" i="17"/>
  <c r="W113" i="17"/>
  <c r="V109" i="17"/>
  <c r="W109" i="17"/>
  <c r="W55" i="17"/>
  <c r="V55" i="17"/>
  <c r="W115" i="17"/>
  <c r="W99" i="17"/>
  <c r="V296" i="3"/>
  <c r="W296" i="3"/>
  <c r="W345" i="3"/>
  <c r="W43" i="3"/>
  <c r="W204" i="3"/>
  <c r="V58" i="3"/>
  <c r="V139" i="3"/>
  <c r="V393" i="3"/>
  <c r="W393" i="3"/>
  <c r="W268" i="3"/>
  <c r="V268" i="3"/>
  <c r="W363" i="3"/>
  <c r="V65" i="3"/>
  <c r="W373" i="3"/>
  <c r="V245" i="3"/>
  <c r="W254" i="3"/>
  <c r="W66" i="3"/>
  <c r="W137" i="3"/>
  <c r="V344" i="3"/>
  <c r="W280" i="3"/>
  <c r="W309" i="3"/>
  <c r="W350" i="3"/>
  <c r="W208" i="3"/>
  <c r="W189" i="3"/>
  <c r="V189" i="3"/>
  <c r="W186" i="3"/>
  <c r="V186" i="3"/>
  <c r="V154" i="3"/>
  <c r="W154" i="3"/>
  <c r="V162" i="3"/>
  <c r="W162" i="3"/>
  <c r="W187" i="3"/>
  <c r="V187" i="3"/>
  <c r="W232" i="3"/>
  <c r="V232" i="3"/>
  <c r="W54" i="3"/>
  <c r="V368" i="3"/>
  <c r="W122" i="3"/>
  <c r="W224" i="3"/>
  <c r="W212" i="3"/>
  <c r="V374" i="3"/>
  <c r="V199" i="3"/>
  <c r="V89" i="3"/>
  <c r="W341" i="3"/>
  <c r="V237" i="3"/>
  <c r="W362" i="3"/>
  <c r="V362" i="3"/>
  <c r="W253" i="3"/>
  <c r="V253" i="3"/>
  <c r="W261" i="3"/>
  <c r="V261" i="3"/>
  <c r="W307" i="3"/>
  <c r="V307" i="3"/>
  <c r="W285" i="3"/>
  <c r="V285" i="3"/>
  <c r="V236" i="3"/>
  <c r="W236" i="3"/>
  <c r="V171" i="3"/>
  <c r="W171" i="3"/>
  <c r="W44" i="3"/>
  <c r="V331" i="3"/>
  <c r="V221" i="3"/>
  <c r="W138" i="3"/>
  <c r="W61" i="3"/>
  <c r="W86" i="3"/>
  <c r="W220" i="3"/>
  <c r="V401" i="3"/>
  <c r="V339" i="3"/>
  <c r="W121" i="3"/>
  <c r="W300" i="3"/>
  <c r="W50" i="25"/>
  <c r="V50" i="25"/>
  <c r="V75" i="25"/>
  <c r="W28" i="25"/>
  <c r="W159" i="25"/>
  <c r="W84" i="25"/>
  <c r="W91" i="25"/>
  <c r="W42" i="25"/>
  <c r="V42" i="25"/>
  <c r="V284" i="3"/>
  <c r="W284" i="3"/>
  <c r="V46" i="3"/>
  <c r="W46" i="3"/>
  <c r="V114" i="3"/>
  <c r="W114" i="3"/>
  <c r="V313" i="3"/>
  <c r="W313" i="3"/>
  <c r="W98" i="3"/>
  <c r="W149" i="3"/>
  <c r="V153" i="3"/>
  <c r="W278" i="3"/>
  <c r="V256" i="3"/>
  <c r="V376" i="3"/>
  <c r="V90" i="3"/>
  <c r="W90" i="3"/>
  <c r="V99" i="3"/>
  <c r="W173" i="3"/>
  <c r="V402" i="3"/>
  <c r="V181" i="3"/>
  <c r="V214" i="3"/>
  <c r="W214" i="3"/>
  <c r="V260" i="3"/>
  <c r="W260" i="3"/>
  <c r="V248" i="3"/>
  <c r="W248" i="3"/>
  <c r="W52" i="3"/>
  <c r="V52" i="3"/>
  <c r="V312" i="3"/>
  <c r="W312" i="3"/>
  <c r="W264" i="3"/>
  <c r="V264" i="3"/>
  <c r="V297" i="3"/>
  <c r="W297" i="3"/>
  <c r="V377" i="3"/>
  <c r="W377" i="3"/>
  <c r="V403" i="3"/>
  <c r="W403" i="3"/>
  <c r="W163" i="3"/>
  <c r="V163" i="3"/>
  <c r="W281" i="3"/>
  <c r="V281" i="3"/>
  <c r="V385" i="3"/>
  <c r="W385" i="3"/>
  <c r="W185" i="3"/>
  <c r="V185" i="3"/>
  <c r="W228" i="3"/>
  <c r="V228" i="3"/>
  <c r="V405" i="3"/>
  <c r="V130" i="3"/>
  <c r="W130" i="3"/>
  <c r="V42" i="3"/>
  <c r="W42" i="3"/>
  <c r="W192" i="3"/>
  <c r="W57" i="3"/>
  <c r="W110" i="3"/>
  <c r="V288" i="3"/>
  <c r="W18" i="25"/>
  <c r="V18" i="25"/>
  <c r="V26" i="25"/>
  <c r="W26" i="25"/>
  <c r="W36" i="25"/>
  <c r="W68" i="25"/>
  <c r="W51" i="25"/>
  <c r="V34" i="25"/>
  <c r="W34" i="25"/>
  <c r="V101" i="3"/>
  <c r="W101" i="3"/>
  <c r="V79" i="3"/>
  <c r="W79" i="3"/>
  <c r="W217" i="3"/>
  <c r="V217" i="3"/>
  <c r="V165" i="3"/>
  <c r="W165" i="3"/>
  <c r="V396" i="3"/>
  <c r="W396" i="3"/>
  <c r="V271" i="3"/>
  <c r="W271" i="3"/>
  <c r="V88" i="3"/>
  <c r="W88" i="3"/>
  <c r="V359" i="3"/>
  <c r="W359" i="3"/>
  <c r="V96" i="3"/>
  <c r="W96" i="3"/>
  <c r="W188" i="3"/>
  <c r="V188" i="3"/>
  <c r="V111" i="3"/>
  <c r="W111" i="3"/>
  <c r="V193" i="3"/>
  <c r="W193" i="3"/>
  <c r="V388" i="3"/>
  <c r="W388" i="3"/>
  <c r="V323" i="3"/>
  <c r="W323" i="3"/>
  <c r="V180" i="3"/>
  <c r="W180" i="3"/>
  <c r="V164" i="3"/>
  <c r="W164" i="3"/>
  <c r="W178" i="3"/>
  <c r="V178" i="3"/>
  <c r="V207" i="3"/>
  <c r="W207" i="3"/>
  <c r="W229" i="3"/>
  <c r="V229" i="3"/>
  <c r="V324" i="3"/>
  <c r="W324" i="3"/>
  <c r="W398" i="3"/>
  <c r="V398" i="3"/>
  <c r="V226" i="3"/>
  <c r="W226" i="3"/>
  <c r="V100" i="3"/>
  <c r="W100" i="3"/>
  <c r="V53" i="3"/>
  <c r="W53" i="3"/>
  <c r="V85" i="3"/>
  <c r="W85" i="3"/>
  <c r="V87" i="3"/>
  <c r="W87" i="3"/>
  <c r="V391" i="3"/>
  <c r="W391" i="3"/>
  <c r="V128" i="3"/>
  <c r="W128" i="3"/>
  <c r="V209" i="3"/>
  <c r="W209" i="3"/>
  <c r="W274" i="3"/>
  <c r="V274" i="3"/>
  <c r="W343" i="3"/>
  <c r="V343" i="3"/>
  <c r="V298" i="3"/>
  <c r="W298" i="3"/>
  <c r="W399" i="3"/>
  <c r="V399" i="3"/>
  <c r="W336" i="3"/>
  <c r="V336" i="3"/>
  <c r="V157" i="3"/>
  <c r="W157" i="3"/>
  <c r="V201" i="3"/>
  <c r="W201" i="3"/>
  <c r="V68" i="3"/>
  <c r="W68" i="3"/>
  <c r="V60" i="3"/>
  <c r="W60" i="3"/>
  <c r="V316" i="3"/>
  <c r="W316" i="3"/>
  <c r="V69" i="3"/>
  <c r="W69" i="3"/>
  <c r="V120" i="3"/>
  <c r="W120" i="3"/>
  <c r="W166" i="3"/>
  <c r="V166" i="3"/>
  <c r="V125" i="3"/>
  <c r="W125" i="3"/>
  <c r="V71" i="3"/>
  <c r="W71" i="3"/>
  <c r="V92" i="3"/>
  <c r="W92" i="3"/>
  <c r="V141" i="3"/>
  <c r="W141" i="3"/>
  <c r="V117" i="3"/>
  <c r="W117" i="3"/>
  <c r="V161" i="3"/>
  <c r="W161" i="3"/>
  <c r="W227" i="3"/>
  <c r="V227" i="3"/>
  <c r="W272" i="3"/>
  <c r="V272" i="3"/>
  <c r="V106" i="3"/>
  <c r="W106" i="3"/>
  <c r="W75" i="3"/>
  <c r="V75" i="3"/>
  <c r="V160" i="3"/>
  <c r="W160" i="3"/>
  <c r="V234" i="3"/>
  <c r="W234" i="3"/>
  <c r="V320" i="3"/>
  <c r="W320" i="3"/>
  <c r="W251" i="3"/>
  <c r="V251" i="3"/>
  <c r="V279" i="3"/>
  <c r="W279" i="3"/>
  <c r="W333" i="3"/>
  <c r="V333" i="3"/>
  <c r="V255" i="3"/>
  <c r="W255" i="3"/>
  <c r="W346" i="3"/>
  <c r="V346" i="3"/>
  <c r="V216" i="3"/>
  <c r="W216" i="3"/>
  <c r="W386" i="3"/>
  <c r="V386" i="3"/>
  <c r="W369" i="3"/>
  <c r="V369" i="3"/>
  <c r="W292" i="3"/>
  <c r="V292" i="3"/>
  <c r="V372" i="3"/>
  <c r="W372" i="3"/>
  <c r="W378" i="3"/>
  <c r="V378" i="3"/>
  <c r="W334" i="3"/>
  <c r="V334" i="3"/>
  <c r="V340" i="3"/>
  <c r="W340" i="3"/>
  <c r="V225" i="3"/>
  <c r="W225" i="3"/>
  <c r="V286" i="3"/>
  <c r="W286" i="3"/>
  <c r="V235" i="3"/>
  <c r="W235" i="3"/>
  <c r="V211" i="3"/>
  <c r="W211" i="3"/>
  <c r="V126" i="3"/>
  <c r="W126" i="3"/>
  <c r="W82" i="3"/>
  <c r="V82" i="3"/>
  <c r="V116" i="3"/>
  <c r="W116" i="3"/>
  <c r="W167" i="3"/>
  <c r="V167" i="3"/>
  <c r="V383" i="3"/>
  <c r="W383" i="3"/>
  <c r="V310" i="3"/>
  <c r="W310" i="3"/>
  <c r="V317" i="3"/>
  <c r="W317" i="3"/>
  <c r="V389" i="3"/>
  <c r="W389" i="3"/>
  <c r="V239" i="3"/>
  <c r="W239" i="3"/>
  <c r="W168" i="3"/>
  <c r="V168" i="3"/>
  <c r="V404" i="3"/>
  <c r="W404" i="3"/>
  <c r="W119" i="3"/>
  <c r="V119" i="3"/>
  <c r="W123" i="3"/>
  <c r="V123" i="3"/>
  <c r="V113" i="3"/>
  <c r="W113" i="3"/>
  <c r="V150" i="3"/>
  <c r="W150" i="3"/>
  <c r="V332" i="3"/>
  <c r="W332" i="3"/>
  <c r="V380" i="3"/>
  <c r="W380" i="3"/>
  <c r="V392" i="3"/>
  <c r="W392" i="3"/>
  <c r="V206" i="3"/>
  <c r="W206" i="3"/>
  <c r="V129" i="3"/>
  <c r="W129" i="3"/>
  <c r="V49" i="3"/>
  <c r="W49" i="3"/>
  <c r="W147" i="3"/>
  <c r="V147" i="3"/>
  <c r="W289" i="3"/>
  <c r="V289" i="3"/>
  <c r="V159" i="3"/>
  <c r="W159" i="3"/>
  <c r="V351" i="3"/>
  <c r="W351" i="3"/>
  <c r="V262" i="3"/>
  <c r="W262" i="3"/>
  <c r="V347" i="3"/>
  <c r="W347" i="3"/>
  <c r="V133" i="3"/>
  <c r="W133" i="3"/>
  <c r="W275" i="3"/>
  <c r="V275" i="3"/>
  <c r="W306" i="3"/>
  <c r="V306" i="3"/>
  <c r="V411" i="3"/>
  <c r="W411" i="3"/>
  <c r="V408" i="3"/>
  <c r="W408" i="3"/>
  <c r="V41" i="3"/>
  <c r="W41" i="3"/>
  <c r="V93" i="3"/>
  <c r="W93" i="3"/>
  <c r="V64" i="3"/>
  <c r="W64" i="3"/>
  <c r="V132" i="3"/>
  <c r="W132" i="3"/>
  <c r="V202" i="3"/>
  <c r="W202" i="3"/>
  <c r="V50" i="3"/>
  <c r="W50" i="3"/>
  <c r="V174" i="3"/>
  <c r="W174" i="3"/>
  <c r="W83" i="3"/>
  <c r="V83" i="3"/>
  <c r="V127" i="3"/>
  <c r="W127" i="3"/>
  <c r="V172" i="3"/>
  <c r="W172" i="3"/>
  <c r="W290" i="3"/>
  <c r="V290" i="3"/>
  <c r="W81" i="3"/>
  <c r="V81" i="3"/>
  <c r="V62" i="3"/>
  <c r="W62" i="3"/>
  <c r="W80" i="3"/>
  <c r="V80" i="3"/>
  <c r="V238" i="3"/>
  <c r="W238" i="3"/>
  <c r="V384" i="3"/>
  <c r="W384" i="3"/>
  <c r="V263" i="3"/>
  <c r="W263" i="3"/>
  <c r="V287" i="3"/>
  <c r="W287" i="3"/>
  <c r="W277" i="3"/>
  <c r="V277" i="3"/>
  <c r="V315" i="3"/>
  <c r="W315" i="3"/>
  <c r="V249" i="3"/>
  <c r="W249" i="3"/>
  <c r="V299" i="3"/>
  <c r="W299" i="3"/>
  <c r="W400" i="3"/>
  <c r="V400" i="3"/>
  <c r="V326" i="3"/>
  <c r="W326" i="3"/>
  <c r="W413" i="3"/>
  <c r="V413" i="3"/>
  <c r="W195" i="3"/>
  <c r="V195" i="3"/>
  <c r="W322" i="3"/>
  <c r="V322" i="3"/>
  <c r="W409" i="3"/>
  <c r="V409" i="3"/>
  <c r="V203" i="3"/>
  <c r="W203" i="3"/>
  <c r="V406" i="3"/>
  <c r="W406" i="3"/>
  <c r="V321" i="3"/>
  <c r="W321" i="3"/>
  <c r="W304" i="3"/>
  <c r="V304" i="3"/>
  <c r="V267" i="3"/>
  <c r="W267" i="3"/>
  <c r="V102" i="3"/>
  <c r="W102" i="3"/>
  <c r="V175" i="3"/>
  <c r="W175" i="3"/>
  <c r="W155" i="3"/>
  <c r="V155" i="3"/>
  <c r="V103" i="3"/>
  <c r="W103" i="3"/>
  <c r="W273" i="3"/>
  <c r="V273" i="3"/>
  <c r="V179" i="3"/>
  <c r="W179" i="3"/>
  <c r="V247" i="3"/>
  <c r="W247" i="3"/>
  <c r="V215" i="3"/>
  <c r="W215" i="3"/>
  <c r="W366" i="3"/>
  <c r="V366" i="3"/>
  <c r="V356" i="3"/>
  <c r="W356" i="3"/>
  <c r="W293" i="3"/>
  <c r="V293" i="3"/>
  <c r="V177" i="3"/>
  <c r="W177" i="3"/>
  <c r="W131" i="3"/>
  <c r="V131" i="3"/>
  <c r="W47" i="3"/>
  <c r="V47" i="3"/>
  <c r="W67" i="3"/>
  <c r="V67" i="3"/>
  <c r="V364" i="3"/>
  <c r="W364" i="3"/>
  <c r="V387" i="3"/>
  <c r="W387" i="3"/>
  <c r="V360" i="3"/>
  <c r="W360" i="3"/>
  <c r="V70" i="3"/>
  <c r="W70" i="3"/>
  <c r="V72" i="3"/>
  <c r="W72" i="3"/>
  <c r="V108" i="3"/>
  <c r="W108" i="3"/>
  <c r="V352" i="3"/>
  <c r="W352" i="3"/>
  <c r="V191" i="3"/>
  <c r="W191" i="3"/>
  <c r="V97" i="3"/>
  <c r="W97" i="3"/>
  <c r="V156" i="3"/>
  <c r="W156" i="3"/>
  <c r="W240" i="3"/>
  <c r="V240" i="3"/>
  <c r="V45" i="3"/>
  <c r="W45" i="3"/>
  <c r="V95" i="3"/>
  <c r="W95" i="3"/>
  <c r="W397" i="3"/>
  <c r="V397" i="3"/>
  <c r="V295" i="3"/>
  <c r="W295" i="3"/>
  <c r="V283" i="3"/>
  <c r="W283" i="3"/>
  <c r="V357" i="3"/>
  <c r="W357" i="3"/>
  <c r="V349" i="3"/>
  <c r="W349" i="3"/>
  <c r="V381" i="3"/>
  <c r="W381" i="3"/>
  <c r="W407" i="3"/>
  <c r="V407" i="3"/>
  <c r="V328" i="3"/>
  <c r="W328" i="3"/>
  <c r="V151" i="3"/>
  <c r="W151" i="3"/>
  <c r="V73" i="3"/>
  <c r="W73" i="3"/>
  <c r="V158" i="3"/>
  <c r="W158" i="3"/>
  <c r="W218" i="3"/>
  <c r="V218" i="3"/>
  <c r="V48" i="3"/>
  <c r="W48" i="3"/>
  <c r="W183" i="3"/>
  <c r="V183" i="3"/>
  <c r="W259" i="3"/>
  <c r="V259" i="3"/>
  <c r="W142" i="3"/>
  <c r="V142" i="3"/>
  <c r="W257" i="3"/>
  <c r="V257" i="3"/>
  <c r="V140" i="3"/>
  <c r="W140" i="3"/>
  <c r="V105" i="3"/>
  <c r="W105" i="3"/>
  <c r="V135" i="3"/>
  <c r="W135" i="3"/>
  <c r="V318" i="3"/>
  <c r="W318" i="3"/>
  <c r="W365" i="3"/>
  <c r="V365" i="3"/>
  <c r="V145" i="3"/>
  <c r="W145" i="3"/>
  <c r="V233" i="3"/>
  <c r="W233" i="3"/>
  <c r="V294" i="3"/>
  <c r="W294" i="3"/>
  <c r="V325" i="3"/>
  <c r="W325" i="3"/>
  <c r="V375" i="3"/>
  <c r="W375" i="3"/>
  <c r="V265" i="3"/>
  <c r="W265" i="3"/>
  <c r="W243" i="3"/>
  <c r="V243" i="3"/>
  <c r="V303" i="3"/>
  <c r="W303" i="3"/>
  <c r="W337" i="3"/>
  <c r="V337" i="3"/>
  <c r="V379" i="3"/>
  <c r="W379" i="3"/>
  <c r="V329" i="3"/>
  <c r="W329" i="3"/>
  <c r="V390" i="3"/>
  <c r="W390" i="3"/>
  <c r="W242" i="3"/>
  <c r="V242" i="3"/>
  <c r="W302" i="3"/>
  <c r="V302" i="3"/>
  <c r="V361" i="3"/>
  <c r="W361" i="3"/>
  <c r="W115" i="3"/>
  <c r="V115" i="3"/>
  <c r="V252" i="3"/>
  <c r="W252" i="3"/>
  <c r="V308" i="3"/>
  <c r="W308" i="3"/>
  <c r="V327" i="3"/>
  <c r="W327" i="3"/>
  <c r="V56" i="3"/>
  <c r="W56" i="3"/>
  <c r="V77" i="3"/>
  <c r="W77" i="3"/>
  <c r="V84" i="3"/>
  <c r="W84" i="3"/>
  <c r="V146" i="3"/>
  <c r="W146" i="3"/>
  <c r="V78" i="3"/>
  <c r="W78" i="3"/>
  <c r="V250" i="3"/>
  <c r="W250" i="3"/>
  <c r="W196" i="3"/>
  <c r="V196" i="3"/>
  <c r="V348" i="3"/>
  <c r="W348" i="3"/>
  <c r="W367" i="3"/>
  <c r="V367" i="3"/>
  <c r="V246" i="3"/>
  <c r="W246" i="3"/>
  <c r="V143" i="3"/>
  <c r="W143" i="3"/>
  <c r="V63" i="3"/>
  <c r="W63" i="3"/>
  <c r="W170" i="3"/>
  <c r="V170" i="3"/>
  <c r="V104" i="3"/>
  <c r="W104" i="3"/>
  <c r="V231" i="3"/>
  <c r="W231" i="3"/>
  <c r="V311" i="3"/>
  <c r="W311" i="3"/>
  <c r="V40" i="3"/>
  <c r="W40" i="3"/>
  <c r="W91" i="3"/>
  <c r="V91" i="3"/>
  <c r="V194" i="3"/>
  <c r="W194" i="3"/>
  <c r="V219" i="3"/>
  <c r="W219" i="3"/>
  <c r="V112" i="3"/>
  <c r="W112" i="3"/>
  <c r="V198" i="3"/>
  <c r="W198" i="3"/>
  <c r="W414" i="3"/>
  <c r="V414" i="3"/>
  <c r="W314" i="3"/>
  <c r="V314" i="3"/>
  <c r="W335" i="3"/>
  <c r="V335" i="3"/>
  <c r="V134" i="3"/>
  <c r="W134" i="3"/>
  <c r="V210" i="3"/>
  <c r="W210" i="3"/>
  <c r="W51" i="3"/>
  <c r="V51" i="3"/>
  <c r="V76" i="3"/>
  <c r="W76" i="3"/>
  <c r="V223" i="3"/>
  <c r="W223" i="3"/>
  <c r="V176" i="3"/>
  <c r="W176" i="3"/>
  <c r="V118" i="3"/>
  <c r="W118" i="3"/>
  <c r="V190" i="3"/>
  <c r="W190" i="3"/>
  <c r="W213" i="3"/>
  <c r="V213" i="3"/>
  <c r="W241" i="3"/>
  <c r="V241" i="3"/>
  <c r="V109" i="3"/>
  <c r="W109" i="3"/>
  <c r="V266" i="3"/>
  <c r="W266" i="3"/>
  <c r="V355" i="3"/>
  <c r="W355" i="3"/>
  <c r="V358" i="3"/>
  <c r="W358" i="3"/>
  <c r="W410" i="3"/>
  <c r="V410" i="3"/>
  <c r="W354" i="3"/>
  <c r="V354" i="3"/>
  <c r="V230" i="3"/>
  <c r="W230" i="3"/>
  <c r="V55" i="3"/>
  <c r="W55" i="3"/>
  <c r="V152" i="3"/>
  <c r="W152" i="3"/>
  <c r="V124" i="3"/>
  <c r="W124" i="3"/>
  <c r="V74" i="3"/>
  <c r="W74" i="3"/>
  <c r="W184" i="3"/>
  <c r="V184" i="3"/>
  <c r="W291" i="3"/>
  <c r="V291" i="3"/>
  <c r="W107" i="3"/>
  <c r="V107" i="3"/>
  <c r="V144" i="3"/>
  <c r="W144" i="3"/>
  <c r="W182" i="3"/>
  <c r="V182" i="3"/>
  <c r="W258" i="3"/>
  <c r="V258" i="3"/>
  <c r="W59" i="3"/>
  <c r="V59" i="3"/>
  <c r="V136" i="3"/>
  <c r="W136" i="3"/>
  <c r="V200" i="3"/>
  <c r="W200" i="3"/>
  <c r="V222" i="3"/>
  <c r="W222" i="3"/>
  <c r="V148" i="3"/>
  <c r="W148" i="3"/>
  <c r="V270" i="3"/>
  <c r="W270" i="3"/>
  <c r="V319" i="3"/>
  <c r="W319" i="3"/>
  <c r="V382" i="3"/>
  <c r="W382" i="3"/>
  <c r="W244" i="3"/>
  <c r="V244" i="3"/>
  <c r="V301" i="3"/>
  <c r="W301" i="3"/>
  <c r="V342" i="3"/>
  <c r="W342" i="3"/>
  <c r="W276" i="3"/>
  <c r="V276" i="3"/>
  <c r="V282" i="3"/>
  <c r="W282" i="3"/>
  <c r="W338" i="3"/>
  <c r="V338" i="3"/>
  <c r="V395" i="3"/>
  <c r="W395" i="3"/>
  <c r="V412" i="3"/>
  <c r="W412" i="3"/>
  <c r="W305" i="3"/>
  <c r="V305" i="3"/>
  <c r="V371" i="3"/>
  <c r="W371" i="3"/>
  <c r="W370" i="3"/>
  <c r="V370" i="3"/>
  <c r="W197" i="3"/>
  <c r="V197" i="3"/>
  <c r="V353" i="3"/>
  <c r="W353" i="3"/>
  <c r="W205" i="3"/>
  <c r="V205" i="3"/>
  <c r="W53" i="24"/>
  <c r="V53" i="24"/>
  <c r="V44" i="24"/>
  <c r="W44" i="24"/>
  <c r="V17" i="24"/>
  <c r="W17" i="24"/>
  <c r="V26" i="24"/>
  <c r="W26" i="24"/>
  <c r="V34" i="24"/>
  <c r="W34" i="24"/>
  <c r="V56" i="24"/>
  <c r="W56" i="24"/>
  <c r="V19" i="24"/>
  <c r="W19" i="24"/>
  <c r="V42" i="24"/>
  <c r="W42" i="24"/>
  <c r="V28" i="24"/>
  <c r="W28" i="24"/>
  <c r="V60" i="24"/>
  <c r="W60" i="24"/>
  <c r="V49" i="24"/>
  <c r="W49" i="24"/>
  <c r="V33" i="24"/>
  <c r="W33" i="24"/>
  <c r="V36" i="24"/>
  <c r="W36" i="24"/>
  <c r="V50" i="24"/>
  <c r="W50" i="24"/>
  <c r="V16" i="24"/>
  <c r="W16" i="24"/>
  <c r="W61" i="24"/>
  <c r="V61" i="24"/>
  <c r="V41" i="24"/>
  <c r="W41" i="24"/>
  <c r="W57" i="24"/>
  <c r="V57" i="24"/>
  <c r="V15" i="24"/>
  <c r="W15" i="24"/>
  <c r="W76" i="24"/>
  <c r="V76" i="24"/>
  <c r="V59" i="24"/>
  <c r="W59" i="24"/>
  <c r="V62" i="24"/>
  <c r="W62" i="24"/>
  <c r="V51" i="24"/>
  <c r="W51" i="24"/>
  <c r="W69" i="24"/>
  <c r="V69" i="24"/>
  <c r="V40" i="24"/>
  <c r="W40" i="24"/>
  <c r="V54" i="24"/>
  <c r="W54" i="24"/>
  <c r="W65" i="24"/>
  <c r="V65" i="24"/>
  <c r="V39" i="24"/>
  <c r="W39" i="24"/>
  <c r="V63" i="24"/>
  <c r="W63" i="24"/>
  <c r="V38" i="24"/>
  <c r="W38" i="24"/>
  <c r="V74" i="24"/>
  <c r="W74" i="24"/>
  <c r="W73" i="24"/>
  <c r="V73" i="24"/>
  <c r="V22" i="24"/>
  <c r="W22" i="24"/>
  <c r="V64" i="24"/>
  <c r="W64" i="24"/>
  <c r="V52" i="24"/>
  <c r="W52" i="24"/>
  <c r="V27" i="24"/>
  <c r="W27" i="24"/>
  <c r="V72" i="24"/>
  <c r="W72" i="24"/>
  <c r="V58" i="24"/>
  <c r="W58" i="24"/>
  <c r="V30" i="24"/>
  <c r="W30" i="24"/>
  <c r="V66" i="24"/>
  <c r="W66" i="24"/>
  <c r="W75" i="24"/>
  <c r="V75" i="24"/>
  <c r="V20" i="24"/>
  <c r="W20" i="24"/>
  <c r="V68" i="24"/>
  <c r="W68" i="24"/>
  <c r="V35" i="24"/>
  <c r="W35" i="24"/>
  <c r="V23" i="24"/>
  <c r="W23" i="24"/>
  <c r="W55" i="24"/>
  <c r="V55" i="24"/>
  <c r="V31" i="24"/>
  <c r="W31" i="24"/>
  <c r="V25" i="24"/>
  <c r="W25" i="24"/>
  <c r="V47" i="24"/>
  <c r="W47" i="24"/>
  <c r="V43" i="24"/>
  <c r="W43" i="24"/>
  <c r="W71" i="24"/>
  <c r="V71" i="24"/>
  <c r="V70" i="24"/>
  <c r="W70" i="24"/>
  <c r="V78" i="24"/>
  <c r="W78" i="24"/>
  <c r="W77" i="24"/>
  <c r="V77" i="24"/>
  <c r="V24" i="24"/>
  <c r="W24" i="24"/>
  <c r="V67" i="24"/>
  <c r="W67" i="24"/>
  <c r="V46" i="24"/>
  <c r="W46" i="24"/>
  <c r="V48" i="24"/>
  <c r="W48" i="24"/>
  <c r="V18" i="24"/>
  <c r="W18" i="24"/>
  <c r="W79" i="24"/>
  <c r="V79" i="24"/>
  <c r="V32" i="24"/>
  <c r="W32" i="24"/>
  <c r="W80" i="25"/>
  <c r="V80" i="25"/>
  <c r="V85" i="25"/>
  <c r="W85" i="25"/>
  <c r="V57" i="25"/>
  <c r="W57" i="25"/>
  <c r="V79" i="25"/>
  <c r="W79" i="25"/>
  <c r="V41" i="25"/>
  <c r="W41" i="25"/>
  <c r="V38" i="25"/>
  <c r="W38" i="25"/>
  <c r="W72" i="25"/>
  <c r="V72" i="25"/>
  <c r="V86" i="25"/>
  <c r="W86" i="25"/>
  <c r="V63" i="25"/>
  <c r="W63" i="25"/>
  <c r="W69" i="25"/>
  <c r="V69" i="25"/>
  <c r="V30" i="25"/>
  <c r="W30" i="25"/>
  <c r="V94" i="25"/>
  <c r="W94" i="25"/>
  <c r="V15" i="25"/>
  <c r="W15" i="25"/>
  <c r="V65" i="25"/>
  <c r="W65" i="25"/>
  <c r="V23" i="25"/>
  <c r="W23" i="25"/>
  <c r="W37" i="25"/>
  <c r="V37" i="25"/>
  <c r="V46" i="25"/>
  <c r="W46" i="25"/>
  <c r="V49" i="25"/>
  <c r="W49" i="25"/>
  <c r="V71" i="25"/>
  <c r="W71" i="25"/>
  <c r="W88" i="25"/>
  <c r="V88" i="25"/>
  <c r="W29" i="25"/>
  <c r="V29" i="25"/>
  <c r="V87" i="25"/>
  <c r="W87" i="25"/>
  <c r="V31" i="25"/>
  <c r="W31" i="25"/>
  <c r="V81" i="25"/>
  <c r="W81" i="25"/>
  <c r="V39" i="25"/>
  <c r="W39" i="25"/>
  <c r="V25" i="25"/>
  <c r="W25" i="25"/>
  <c r="V89" i="25"/>
  <c r="W89" i="25"/>
  <c r="W53" i="25"/>
  <c r="V53" i="25"/>
  <c r="V62" i="25"/>
  <c r="W62" i="25"/>
  <c r="V47" i="25"/>
  <c r="W47" i="25"/>
  <c r="V93" i="25"/>
  <c r="W93" i="25"/>
  <c r="V70" i="25"/>
  <c r="W70" i="25"/>
  <c r="V54" i="25"/>
  <c r="W54" i="25"/>
  <c r="V21" i="25"/>
  <c r="W21" i="25"/>
  <c r="W96" i="25"/>
  <c r="V96" i="25"/>
  <c r="V73" i="25"/>
  <c r="W73" i="25"/>
  <c r="V95" i="25"/>
  <c r="W95" i="25"/>
  <c r="V17" i="25"/>
  <c r="W17" i="25"/>
  <c r="W45" i="25"/>
  <c r="V45" i="25"/>
  <c r="V14" i="25"/>
  <c r="W14" i="25"/>
  <c r="V33" i="25"/>
  <c r="W33" i="25"/>
  <c r="V97" i="25"/>
  <c r="W97" i="25"/>
  <c r="V77" i="25"/>
  <c r="W77" i="25"/>
  <c r="V78" i="25"/>
  <c r="W78" i="25"/>
  <c r="V55" i="25"/>
  <c r="W55" i="25"/>
  <c r="W61" i="25"/>
  <c r="V61" i="25"/>
  <c r="W30" i="17"/>
  <c r="V30" i="17"/>
  <c r="V39" i="17"/>
  <c r="W39" i="17"/>
  <c r="V79" i="17"/>
  <c r="W79" i="17"/>
  <c r="V70" i="17"/>
  <c r="W70" i="17"/>
  <c r="V78" i="17"/>
  <c r="W78" i="17"/>
  <c r="V29" i="17"/>
  <c r="W29" i="17"/>
  <c r="W67" i="17"/>
  <c r="V67" i="17"/>
  <c r="V108" i="17"/>
  <c r="W108" i="17"/>
  <c r="V58" i="17"/>
  <c r="W58" i="17"/>
  <c r="W81" i="17"/>
  <c r="V81" i="17"/>
  <c r="V112" i="17"/>
  <c r="W112" i="17"/>
  <c r="V95" i="17"/>
  <c r="W95" i="17"/>
  <c r="V42" i="17"/>
  <c r="W42" i="17"/>
  <c r="V116" i="17"/>
  <c r="W116" i="17"/>
  <c r="V18" i="17"/>
  <c r="W18" i="17"/>
  <c r="V86" i="17"/>
  <c r="W86" i="17"/>
  <c r="V16" i="17"/>
  <c r="W16" i="17"/>
  <c r="V87" i="17"/>
  <c r="W87" i="17"/>
  <c r="V85" i="17"/>
  <c r="W85" i="17"/>
  <c r="V88" i="17"/>
  <c r="W88" i="17"/>
  <c r="V52" i="17"/>
  <c r="W52" i="17"/>
  <c r="V50" i="17"/>
  <c r="W50" i="17"/>
  <c r="W75" i="17"/>
  <c r="V75" i="17"/>
  <c r="V45" i="17"/>
  <c r="W45" i="17"/>
  <c r="V40" i="17"/>
  <c r="W40" i="17"/>
  <c r="V74" i="17"/>
  <c r="W74" i="17"/>
  <c r="V102" i="17"/>
  <c r="W102" i="17"/>
  <c r="V48" i="17"/>
  <c r="W48" i="17"/>
  <c r="V106" i="17"/>
  <c r="W106" i="17"/>
  <c r="V71" i="17"/>
  <c r="W71" i="17"/>
  <c r="V53" i="17"/>
  <c r="W53" i="17"/>
  <c r="W76" i="17"/>
  <c r="V76" i="17"/>
  <c r="V82" i="17"/>
  <c r="W82" i="17"/>
  <c r="V110" i="17"/>
  <c r="W110" i="17"/>
  <c r="W17" i="17"/>
  <c r="V17" i="17"/>
  <c r="W65" i="17"/>
  <c r="V65" i="17"/>
  <c r="W97" i="17"/>
  <c r="V97" i="17"/>
  <c r="W25" i="17"/>
  <c r="V25" i="17"/>
  <c r="W54" i="17"/>
  <c r="V54" i="17"/>
  <c r="V36" i="17"/>
  <c r="W36" i="17"/>
  <c r="W33" i="17"/>
  <c r="V33" i="17"/>
  <c r="V37" i="17"/>
  <c r="W37" i="17"/>
  <c r="V24" i="17"/>
  <c r="W24" i="17"/>
  <c r="V62" i="17"/>
  <c r="W62" i="17"/>
  <c r="V93" i="17"/>
  <c r="W93" i="17"/>
  <c r="V96" i="17"/>
  <c r="W96" i="17"/>
  <c r="V15" i="17"/>
  <c r="W15" i="17"/>
  <c r="W19" i="17"/>
  <c r="V19" i="17"/>
  <c r="W60" i="17"/>
  <c r="V60" i="17"/>
  <c r="W38" i="17"/>
  <c r="V38" i="17"/>
  <c r="W43" i="17"/>
  <c r="V43" i="17"/>
  <c r="W57" i="17"/>
  <c r="V57" i="17"/>
  <c r="W46" i="17"/>
  <c r="V46" i="17"/>
  <c r="W20" i="17"/>
  <c r="V20" i="17"/>
  <c r="V64" i="17"/>
  <c r="W64" i="17"/>
  <c r="W41" i="17"/>
  <c r="V41" i="17"/>
  <c r="V114" i="17"/>
  <c r="W114" i="17"/>
  <c r="V90" i="17"/>
  <c r="W90" i="17"/>
  <c r="V100" i="17"/>
  <c r="W100" i="17"/>
  <c r="W22" i="17"/>
  <c r="V22" i="17"/>
  <c r="V77" i="17"/>
  <c r="W77" i="17"/>
  <c r="V80" i="17"/>
  <c r="W80" i="17"/>
  <c r="V98" i="17"/>
  <c r="W98" i="17"/>
  <c r="W44" i="17"/>
  <c r="V44" i="17"/>
  <c r="V66" i="17"/>
  <c r="W66" i="17"/>
  <c r="V94" i="17"/>
  <c r="W94" i="17"/>
  <c r="V32" i="17"/>
  <c r="W32" i="17"/>
  <c r="V63" i="17"/>
  <c r="W63" i="17"/>
  <c r="W27" i="17"/>
  <c r="V27" i="17"/>
  <c r="V23" i="17"/>
  <c r="W23" i="17"/>
  <c r="W89" i="17"/>
  <c r="V89" i="17"/>
  <c r="W35" i="17"/>
  <c r="V35" i="17"/>
  <c r="V68" i="17"/>
  <c r="W68" i="17"/>
  <c r="V31" i="17"/>
  <c r="W31" i="17"/>
  <c r="V34" i="17"/>
  <c r="W34" i="17"/>
  <c r="V26" i="17"/>
  <c r="W26" i="17"/>
  <c r="W59" i="17"/>
  <c r="V59" i="17"/>
  <c r="W51" i="17"/>
  <c r="V51" i="17"/>
  <c r="V56" i="17"/>
  <c r="W56" i="17"/>
  <c r="V14" i="17"/>
  <c r="W14" i="17"/>
  <c r="V21" i="17"/>
  <c r="W21" i="17"/>
  <c r="V61" i="17"/>
  <c r="W61" i="17"/>
  <c r="V84" i="17"/>
  <c r="W84" i="17"/>
  <c r="V69" i="17"/>
  <c r="W69" i="17"/>
  <c r="V28" i="17"/>
  <c r="W28" i="17"/>
  <c r="W92" i="17"/>
  <c r="V92" i="17"/>
  <c r="V72" i="17"/>
  <c r="W72" i="17"/>
  <c r="V118" i="17"/>
  <c r="W118" i="17"/>
  <c r="W49" i="17"/>
  <c r="V49" i="17"/>
  <c r="W83" i="17"/>
  <c r="V83" i="17"/>
  <c r="W73" i="17"/>
  <c r="V73" i="17"/>
  <c r="V104" i="17"/>
  <c r="W104" i="17"/>
  <c r="W91" i="17"/>
  <c r="V91" i="17"/>
  <c r="C20" i="27" l="1"/>
  <c r="BD14" i="27"/>
  <c r="BB9" i="5" s="1"/>
  <c r="BC14" i="27"/>
  <c r="BA9" i="5" s="1"/>
  <c r="BB14" i="27"/>
  <c r="AZ9" i="5" s="1"/>
  <c r="BA14" i="27"/>
  <c r="AY9" i="5" s="1"/>
  <c r="AZ14" i="27"/>
  <c r="AX9" i="5" s="1"/>
  <c r="AY14" i="27"/>
  <c r="AW9" i="5" s="1"/>
  <c r="AX14" i="27"/>
  <c r="AV9" i="5" s="1"/>
  <c r="AW14" i="27"/>
  <c r="AU9" i="5" s="1"/>
  <c r="AV14" i="27"/>
  <c r="AT9" i="5" s="1"/>
  <c r="AU14" i="27"/>
  <c r="AS9" i="5" s="1"/>
  <c r="AR9" i="5"/>
  <c r="AQ9" i="5"/>
  <c r="AP14" i="27"/>
  <c r="AN9" i="5" s="1"/>
  <c r="AO14" i="27"/>
  <c r="AM9" i="5" s="1"/>
  <c r="AN14" i="27"/>
  <c r="AL9" i="5" s="1"/>
  <c r="AM14" i="27"/>
  <c r="AK9" i="5" s="1"/>
  <c r="AL14" i="27"/>
  <c r="AJ9" i="5" s="1"/>
  <c r="AK14" i="27"/>
  <c r="AI9" i="5" s="1"/>
  <c r="AJ14" i="27"/>
  <c r="AH9" i="5" s="1"/>
  <c r="AI14" i="27"/>
  <c r="AG9" i="5" s="1"/>
  <c r="AH14" i="27"/>
  <c r="AF9" i="5" s="1"/>
  <c r="AG14" i="27"/>
  <c r="AE9" i="5" s="1"/>
  <c r="AF14" i="27"/>
  <c r="AD9" i="5" s="1"/>
  <c r="Z9" i="5"/>
  <c r="AA14" i="27"/>
  <c r="Y9" i="5" s="1"/>
  <c r="Z14" i="27"/>
  <c r="X9" i="5" s="1"/>
  <c r="Y14" i="27"/>
  <c r="W9" i="5" s="1"/>
  <c r="T14" i="27"/>
  <c r="R9" i="5" s="1"/>
  <c r="R11" i="5" s="1"/>
  <c r="L14" i="27"/>
  <c r="J9" i="5" s="1"/>
  <c r="K14" i="27"/>
  <c r="I9" i="5" s="1"/>
  <c r="J14" i="27"/>
  <c r="H9" i="5" s="1"/>
  <c r="F14" i="27"/>
  <c r="D9" i="5" s="1"/>
  <c r="AE13" i="27"/>
  <c r="X13" i="27"/>
  <c r="I13" i="27"/>
  <c r="AE12" i="27"/>
  <c r="X12" i="27"/>
  <c r="I12" i="27"/>
  <c r="U7" i="27"/>
  <c r="C7" i="27"/>
  <c r="AX6" i="27"/>
  <c r="AD6" i="27"/>
  <c r="U6" i="27"/>
  <c r="C6" i="27"/>
  <c r="AX5" i="27"/>
  <c r="AD5" i="27"/>
  <c r="U5" i="27"/>
  <c r="C5" i="27"/>
  <c r="AX4" i="27"/>
  <c r="AD4" i="27"/>
  <c r="U4" i="27"/>
  <c r="AX3" i="27"/>
  <c r="U3" i="27"/>
  <c r="C3" i="27"/>
  <c r="C2" i="27"/>
  <c r="C1" i="27"/>
  <c r="C31" i="26"/>
  <c r="BD25" i="26"/>
  <c r="BB8" i="5" s="1"/>
  <c r="BC25" i="26"/>
  <c r="BA8" i="5" s="1"/>
  <c r="BB25" i="26"/>
  <c r="AZ8" i="5" s="1"/>
  <c r="BA25" i="26"/>
  <c r="AY8" i="5" s="1"/>
  <c r="AZ25" i="26"/>
  <c r="AX8" i="5" s="1"/>
  <c r="AY25" i="26"/>
  <c r="AW8" i="5" s="1"/>
  <c r="AX25" i="26"/>
  <c r="AV8" i="5" s="1"/>
  <c r="AW25" i="26"/>
  <c r="AU8" i="5" s="1"/>
  <c r="AT8" i="5"/>
  <c r="AS8" i="5"/>
  <c r="AR8" i="5"/>
  <c r="AQ8" i="5"/>
  <c r="AQ25" i="26"/>
  <c r="AP25" i="26"/>
  <c r="AN8" i="5" s="1"/>
  <c r="AO25" i="26"/>
  <c r="AM8" i="5" s="1"/>
  <c r="AN25" i="26"/>
  <c r="AL8" i="5" s="1"/>
  <c r="AM25" i="26"/>
  <c r="AK8" i="5" s="1"/>
  <c r="AL25" i="26"/>
  <c r="AJ8" i="5" s="1"/>
  <c r="AK25" i="26"/>
  <c r="AI8" i="5" s="1"/>
  <c r="AJ25" i="26"/>
  <c r="AH8" i="5" s="1"/>
  <c r="AI25" i="26"/>
  <c r="AG8" i="5" s="1"/>
  <c r="AH25" i="26"/>
  <c r="AF8" i="5" s="1"/>
  <c r="AG25" i="26"/>
  <c r="AE8" i="5" s="1"/>
  <c r="AF25" i="26"/>
  <c r="AD8" i="5" s="1"/>
  <c r="Z8" i="5"/>
  <c r="Y8" i="5"/>
  <c r="Z25" i="26"/>
  <c r="X8" i="5" s="1"/>
  <c r="Y25" i="26"/>
  <c r="W8" i="5" s="1"/>
  <c r="L25" i="26"/>
  <c r="J8" i="5" s="1"/>
  <c r="K25" i="26"/>
  <c r="I8" i="5" s="1"/>
  <c r="J25" i="26"/>
  <c r="H8" i="5" s="1"/>
  <c r="F25" i="26"/>
  <c r="D8" i="5" s="1"/>
  <c r="AE24" i="26"/>
  <c r="X24" i="26"/>
  <c r="I24" i="26"/>
  <c r="AE23" i="26"/>
  <c r="X23" i="26"/>
  <c r="U23" i="26" s="1"/>
  <c r="I23" i="26"/>
  <c r="AE22" i="26"/>
  <c r="X22" i="26"/>
  <c r="I22" i="26"/>
  <c r="AE21" i="26"/>
  <c r="X21" i="26"/>
  <c r="I21" i="26"/>
  <c r="AE20" i="26"/>
  <c r="X20" i="26"/>
  <c r="I20" i="26"/>
  <c r="AE19" i="26"/>
  <c r="X19" i="26"/>
  <c r="I19" i="26"/>
  <c r="AE18" i="26"/>
  <c r="X18" i="26"/>
  <c r="I18" i="26"/>
  <c r="AE17" i="26"/>
  <c r="X17" i="26"/>
  <c r="I17" i="26"/>
  <c r="AE16" i="26"/>
  <c r="X16" i="26"/>
  <c r="U16" i="26" s="1"/>
  <c r="I16" i="26"/>
  <c r="AE15" i="26"/>
  <c r="X15" i="26"/>
  <c r="I15" i="26"/>
  <c r="AE14" i="26"/>
  <c r="X14" i="26"/>
  <c r="I14" i="26"/>
  <c r="AE13" i="26"/>
  <c r="X13" i="26"/>
  <c r="I13" i="26"/>
  <c r="AE12" i="26"/>
  <c r="X12" i="26"/>
  <c r="I12" i="26"/>
  <c r="U7" i="26"/>
  <c r="C7" i="26"/>
  <c r="AX6" i="26"/>
  <c r="AD6" i="26"/>
  <c r="U6" i="26"/>
  <c r="C6" i="26"/>
  <c r="AX5" i="26"/>
  <c r="AD5" i="26"/>
  <c r="U5" i="26"/>
  <c r="C5" i="26"/>
  <c r="AX4" i="26"/>
  <c r="AD4" i="26"/>
  <c r="U4" i="26"/>
  <c r="AX3" i="26"/>
  <c r="U3" i="26"/>
  <c r="C3" i="26"/>
  <c r="C2" i="26"/>
  <c r="C1" i="26"/>
  <c r="C201" i="25"/>
  <c r="BD195" i="25"/>
  <c r="BB7" i="5" s="1"/>
  <c r="BC195" i="25"/>
  <c r="BA7" i="5" s="1"/>
  <c r="BB195" i="25"/>
  <c r="AZ7" i="5" s="1"/>
  <c r="BA195" i="25"/>
  <c r="AY7" i="5" s="1"/>
  <c r="AZ195" i="25"/>
  <c r="AX7" i="5" s="1"/>
  <c r="AY195" i="25"/>
  <c r="AW7" i="5" s="1"/>
  <c r="AX195" i="25"/>
  <c r="AV7" i="5" s="1"/>
  <c r="AU7" i="5"/>
  <c r="AT7" i="5"/>
  <c r="AS7" i="5"/>
  <c r="AR7" i="5"/>
  <c r="AQ7" i="5"/>
  <c r="AQ195" i="25"/>
  <c r="AO7" i="5" s="1"/>
  <c r="AP195" i="25"/>
  <c r="AN7" i="5" s="1"/>
  <c r="AO195" i="25"/>
  <c r="AM7" i="5" s="1"/>
  <c r="AN195" i="25"/>
  <c r="AL7" i="5" s="1"/>
  <c r="AM195" i="25"/>
  <c r="AK7" i="5" s="1"/>
  <c r="AL195" i="25"/>
  <c r="AJ7" i="5" s="1"/>
  <c r="AK195" i="25"/>
  <c r="AI7" i="5" s="1"/>
  <c r="AJ195" i="25"/>
  <c r="AH7" i="5" s="1"/>
  <c r="AI195" i="25"/>
  <c r="AG7" i="5" s="1"/>
  <c r="AH195" i="25"/>
  <c r="AF7" i="5" s="1"/>
  <c r="AG195" i="25"/>
  <c r="AE7" i="5" s="1"/>
  <c r="AF195" i="25"/>
  <c r="AD7" i="5" s="1"/>
  <c r="Z7" i="5"/>
  <c r="Y7" i="5"/>
  <c r="Z195" i="25"/>
  <c r="X7" i="5" s="1"/>
  <c r="Y195" i="25"/>
  <c r="W7" i="5" s="1"/>
  <c r="L195" i="25"/>
  <c r="J7" i="5" s="1"/>
  <c r="K195" i="25"/>
  <c r="I7" i="5" s="1"/>
  <c r="J195" i="25"/>
  <c r="H7" i="5" s="1"/>
  <c r="F195" i="25"/>
  <c r="D7" i="5" s="1"/>
  <c r="U7" i="25"/>
  <c r="C7" i="25"/>
  <c r="AX6" i="25"/>
  <c r="AD6" i="25"/>
  <c r="U6" i="25"/>
  <c r="C6" i="25"/>
  <c r="AX5" i="25"/>
  <c r="AD5" i="25"/>
  <c r="U5" i="25"/>
  <c r="C5" i="25"/>
  <c r="AX4" i="25"/>
  <c r="AD4" i="25"/>
  <c r="U4" i="25"/>
  <c r="AX3" i="25"/>
  <c r="U3" i="25"/>
  <c r="C3" i="25"/>
  <c r="C2" i="25"/>
  <c r="C1" i="25"/>
  <c r="C86" i="24"/>
  <c r="BD80" i="24"/>
  <c r="BB10" i="5" s="1"/>
  <c r="BC80" i="24"/>
  <c r="BA10" i="5" s="1"/>
  <c r="BB80" i="24"/>
  <c r="AZ10" i="5" s="1"/>
  <c r="BA80" i="24"/>
  <c r="AY10" i="5" s="1"/>
  <c r="AZ80" i="24"/>
  <c r="AX10" i="5" s="1"/>
  <c r="AY80" i="24"/>
  <c r="AW10" i="5" s="1"/>
  <c r="AX80" i="24"/>
  <c r="AV10" i="5" s="1"/>
  <c r="AW80" i="24"/>
  <c r="AU10" i="5" s="1"/>
  <c r="AT10" i="5"/>
  <c r="AS10" i="5"/>
  <c r="AR10" i="5"/>
  <c r="AQ10" i="5"/>
  <c r="AQ80" i="24"/>
  <c r="AP80" i="24"/>
  <c r="AN10" i="5" s="1"/>
  <c r="AO80" i="24"/>
  <c r="AM10" i="5" s="1"/>
  <c r="AN80" i="24"/>
  <c r="AL10" i="5" s="1"/>
  <c r="AM80" i="24"/>
  <c r="AK10" i="5" s="1"/>
  <c r="AL80" i="24"/>
  <c r="AJ10" i="5" s="1"/>
  <c r="AK80" i="24"/>
  <c r="AI10" i="5" s="1"/>
  <c r="AJ80" i="24"/>
  <c r="AH10" i="5" s="1"/>
  <c r="AI80" i="24"/>
  <c r="AG10" i="5" s="1"/>
  <c r="AH80" i="24"/>
  <c r="AF10" i="5" s="1"/>
  <c r="AG80" i="24"/>
  <c r="AE10" i="5" s="1"/>
  <c r="AF80" i="24"/>
  <c r="AD10" i="5" s="1"/>
  <c r="Z10" i="5"/>
  <c r="Y10" i="5"/>
  <c r="Z80" i="24"/>
  <c r="X10" i="5" s="1"/>
  <c r="Y80" i="24"/>
  <c r="W10" i="5" s="1"/>
  <c r="L80" i="24"/>
  <c r="J10" i="5" s="1"/>
  <c r="K80" i="24"/>
  <c r="I10" i="5" s="1"/>
  <c r="J80" i="24"/>
  <c r="H10" i="5" s="1"/>
  <c r="F80" i="24"/>
  <c r="D10" i="5" s="1"/>
  <c r="AE14" i="24"/>
  <c r="X14" i="24"/>
  <c r="I14" i="24"/>
  <c r="AE13" i="24"/>
  <c r="X13" i="24"/>
  <c r="I13" i="24"/>
  <c r="AE12" i="24"/>
  <c r="X12" i="24"/>
  <c r="I12" i="24"/>
  <c r="U7" i="24"/>
  <c r="C7" i="24"/>
  <c r="AX6" i="24"/>
  <c r="AD6" i="24"/>
  <c r="U6" i="24"/>
  <c r="C6" i="24"/>
  <c r="AX5" i="24"/>
  <c r="AD5" i="24"/>
  <c r="U5" i="24"/>
  <c r="C5" i="24"/>
  <c r="AX4" i="24"/>
  <c r="AD4" i="24"/>
  <c r="U4" i="24"/>
  <c r="AX3" i="24"/>
  <c r="U3" i="24"/>
  <c r="C3" i="24"/>
  <c r="C2" i="24"/>
  <c r="C1" i="24"/>
  <c r="C48" i="23"/>
  <c r="BD42" i="23"/>
  <c r="BB6" i="5" s="1"/>
  <c r="BC42" i="23"/>
  <c r="BA6" i="5" s="1"/>
  <c r="BB42" i="23"/>
  <c r="AZ6" i="5" s="1"/>
  <c r="BA42" i="23"/>
  <c r="AY6" i="5" s="1"/>
  <c r="AZ42" i="23"/>
  <c r="AX6" i="5" s="1"/>
  <c r="AY42" i="23"/>
  <c r="AW6" i="5" s="1"/>
  <c r="AX42" i="23"/>
  <c r="AV6" i="5" s="1"/>
  <c r="AW42" i="23"/>
  <c r="AU6" i="5" s="1"/>
  <c r="AV42" i="23"/>
  <c r="AT6" i="5" s="1"/>
  <c r="AU42" i="23"/>
  <c r="AS6" i="5" s="1"/>
  <c r="AT42" i="23"/>
  <c r="AR6" i="5" s="1"/>
  <c r="AQ6" i="5"/>
  <c r="AP42" i="23"/>
  <c r="AN6" i="5" s="1"/>
  <c r="AO42" i="23"/>
  <c r="AM6" i="5" s="1"/>
  <c r="AN42" i="23"/>
  <c r="AL6" i="5" s="1"/>
  <c r="AM42" i="23"/>
  <c r="AK6" i="5" s="1"/>
  <c r="AL42" i="23"/>
  <c r="AJ6" i="5" s="1"/>
  <c r="AK42" i="23"/>
  <c r="AI6" i="5" s="1"/>
  <c r="AJ42" i="23"/>
  <c r="AH6" i="5" s="1"/>
  <c r="AI42" i="23"/>
  <c r="AG6" i="5" s="1"/>
  <c r="AH42" i="23"/>
  <c r="AF6" i="5" s="1"/>
  <c r="AG42" i="23"/>
  <c r="AE6" i="5" s="1"/>
  <c r="AF42" i="23"/>
  <c r="AD6" i="5" s="1"/>
  <c r="Z6" i="5"/>
  <c r="Y6" i="5"/>
  <c r="Z42" i="23"/>
  <c r="X6" i="5" s="1"/>
  <c r="Y42" i="23"/>
  <c r="W6" i="5" s="1"/>
  <c r="L42" i="23"/>
  <c r="J6" i="5" s="1"/>
  <c r="K42" i="23"/>
  <c r="I6" i="5" s="1"/>
  <c r="J42" i="23"/>
  <c r="H6" i="5" s="1"/>
  <c r="F42" i="23"/>
  <c r="D6" i="5" s="1"/>
  <c r="AE41" i="23"/>
  <c r="X41" i="23"/>
  <c r="I41" i="23"/>
  <c r="AE40" i="23"/>
  <c r="X40" i="23"/>
  <c r="I40" i="23"/>
  <c r="AE39" i="23"/>
  <c r="X39" i="23"/>
  <c r="I39" i="23"/>
  <c r="AE38" i="23"/>
  <c r="X38" i="23"/>
  <c r="I38" i="23"/>
  <c r="AE37" i="23"/>
  <c r="X37" i="23"/>
  <c r="I37" i="23"/>
  <c r="AE36" i="23"/>
  <c r="X36" i="23"/>
  <c r="I36" i="23"/>
  <c r="AE35" i="23"/>
  <c r="X35" i="23"/>
  <c r="I35" i="23"/>
  <c r="AE34" i="23"/>
  <c r="X34" i="23"/>
  <c r="I34" i="23"/>
  <c r="AE33" i="23"/>
  <c r="X33" i="23"/>
  <c r="I33" i="23"/>
  <c r="AE32" i="23"/>
  <c r="X32" i="23"/>
  <c r="I32" i="23"/>
  <c r="AE31" i="23"/>
  <c r="X31" i="23"/>
  <c r="I31" i="23"/>
  <c r="AE30" i="23"/>
  <c r="X30" i="23"/>
  <c r="I30" i="23"/>
  <c r="AE29" i="23"/>
  <c r="X29" i="23"/>
  <c r="I29" i="23"/>
  <c r="AE28" i="23"/>
  <c r="X28" i="23"/>
  <c r="I28" i="23"/>
  <c r="AE27" i="23"/>
  <c r="X27" i="23"/>
  <c r="I27" i="23"/>
  <c r="AE26" i="23"/>
  <c r="X26" i="23"/>
  <c r="I26" i="23"/>
  <c r="AE25" i="23"/>
  <c r="X25" i="23"/>
  <c r="I25" i="23"/>
  <c r="AE24" i="23"/>
  <c r="X24" i="23"/>
  <c r="I24" i="23"/>
  <c r="AE23" i="23"/>
  <c r="X23" i="23"/>
  <c r="I23" i="23"/>
  <c r="AE22" i="23"/>
  <c r="X22" i="23"/>
  <c r="I22" i="23"/>
  <c r="AE21" i="23"/>
  <c r="X21" i="23"/>
  <c r="I21" i="23"/>
  <c r="AE20" i="23"/>
  <c r="X20" i="23"/>
  <c r="I20" i="23"/>
  <c r="AE19" i="23"/>
  <c r="X19" i="23"/>
  <c r="I19" i="23"/>
  <c r="AE18" i="23"/>
  <c r="X18" i="23"/>
  <c r="I18" i="23"/>
  <c r="AE17" i="23"/>
  <c r="X17" i="23"/>
  <c r="I17" i="23"/>
  <c r="AE16" i="23"/>
  <c r="X16" i="23"/>
  <c r="I16" i="23"/>
  <c r="AE15" i="23"/>
  <c r="X15" i="23"/>
  <c r="I15" i="23"/>
  <c r="AE14" i="23"/>
  <c r="X14" i="23"/>
  <c r="I14" i="23"/>
  <c r="U7" i="23"/>
  <c r="C7" i="23"/>
  <c r="AX6" i="23"/>
  <c r="AD6" i="23"/>
  <c r="U6" i="23"/>
  <c r="C6" i="23"/>
  <c r="AX5" i="23"/>
  <c r="AD5" i="23"/>
  <c r="U5" i="23"/>
  <c r="C5" i="23"/>
  <c r="AX4" i="23"/>
  <c r="AD4" i="23"/>
  <c r="U4" i="23"/>
  <c r="AX3" i="23"/>
  <c r="U3" i="23"/>
  <c r="C3" i="23"/>
  <c r="C2" i="23"/>
  <c r="C1" i="23"/>
  <c r="AX6" i="17"/>
  <c r="AX5" i="17"/>
  <c r="AX4" i="17"/>
  <c r="AX3" i="17"/>
  <c r="AD6" i="17"/>
  <c r="AD5" i="17"/>
  <c r="AD4" i="17"/>
  <c r="U7" i="17"/>
  <c r="U6" i="17"/>
  <c r="U5" i="17"/>
  <c r="U4" i="17"/>
  <c r="U3" i="17"/>
  <c r="U34" i="23" l="1"/>
  <c r="BE12" i="27"/>
  <c r="AE14" i="27"/>
  <c r="AC9" i="5" s="1"/>
  <c r="I11" i="5"/>
  <c r="J11" i="5"/>
  <c r="U27" i="23"/>
  <c r="H27" i="23" s="1"/>
  <c r="BE19" i="23"/>
  <c r="U32" i="23"/>
  <c r="H32" i="23" s="1"/>
  <c r="W32" i="23" s="1"/>
  <c r="U12" i="27"/>
  <c r="H12" i="27" s="1"/>
  <c r="X14" i="27"/>
  <c r="V9" i="5" s="1"/>
  <c r="I14" i="27"/>
  <c r="G9" i="5" s="1"/>
  <c r="U20" i="26"/>
  <c r="H20" i="26" s="1"/>
  <c r="BE20" i="26"/>
  <c r="BE22" i="26"/>
  <c r="H23" i="26"/>
  <c r="V23" i="26" s="1"/>
  <c r="BE12" i="26"/>
  <c r="U19" i="26"/>
  <c r="H19" i="26" s="1"/>
  <c r="V19" i="26" s="1"/>
  <c r="U14" i="26"/>
  <c r="H14" i="26" s="1"/>
  <c r="W14" i="26" s="1"/>
  <c r="U17" i="26"/>
  <c r="H17" i="26" s="1"/>
  <c r="W17" i="26" s="1"/>
  <c r="U18" i="26"/>
  <c r="H18" i="26" s="1"/>
  <c r="W18" i="26" s="1"/>
  <c r="BE23" i="26"/>
  <c r="BE24" i="26"/>
  <c r="U12" i="26"/>
  <c r="H12" i="26" s="1"/>
  <c r="W12" i="26" s="1"/>
  <c r="U15" i="26"/>
  <c r="H15" i="26" s="1"/>
  <c r="W15" i="26" s="1"/>
  <c r="BE41" i="23"/>
  <c r="U35" i="23"/>
  <c r="H35" i="23" s="1"/>
  <c r="V35" i="23" s="1"/>
  <c r="U36" i="23"/>
  <c r="H36" i="23" s="1"/>
  <c r="U20" i="23"/>
  <c r="U26" i="23"/>
  <c r="H26" i="23" s="1"/>
  <c r="W26" i="23" s="1"/>
  <c r="U17" i="23"/>
  <c r="H17" i="23" s="1"/>
  <c r="W17" i="23" s="1"/>
  <c r="U25" i="23"/>
  <c r="H25" i="23" s="1"/>
  <c r="W25" i="23" s="1"/>
  <c r="U30" i="23"/>
  <c r="H30" i="23" s="1"/>
  <c r="V30" i="23" s="1"/>
  <c r="U39" i="23"/>
  <c r="H39" i="23" s="1"/>
  <c r="V39" i="23" s="1"/>
  <c r="U18" i="23"/>
  <c r="H18" i="23" s="1"/>
  <c r="W18" i="23" s="1"/>
  <c r="U28" i="23"/>
  <c r="H28" i="23" s="1"/>
  <c r="H20" i="23"/>
  <c r="W20" i="23" s="1"/>
  <c r="U15" i="23"/>
  <c r="H15" i="23" s="1"/>
  <c r="V15" i="23" s="1"/>
  <c r="U16" i="23"/>
  <c r="H16" i="23" s="1"/>
  <c r="BE31" i="23"/>
  <c r="AE42" i="23"/>
  <c r="AC6" i="5" s="1"/>
  <c r="BE33" i="23"/>
  <c r="U33" i="23"/>
  <c r="H33" i="23" s="1"/>
  <c r="W33" i="23" s="1"/>
  <c r="U29" i="23"/>
  <c r="H29" i="23" s="1"/>
  <c r="W29" i="23" s="1"/>
  <c r="BE23" i="23"/>
  <c r="U14" i="23"/>
  <c r="H14" i="23" s="1"/>
  <c r="W14" i="23" s="1"/>
  <c r="U19" i="23"/>
  <c r="H19" i="23" s="1"/>
  <c r="V19" i="23" s="1"/>
  <c r="U21" i="23"/>
  <c r="H21" i="23" s="1"/>
  <c r="V21" i="23" s="1"/>
  <c r="BE36" i="23"/>
  <c r="U12" i="24"/>
  <c r="H12" i="24" s="1"/>
  <c r="W12" i="24" s="1"/>
  <c r="BE14" i="24"/>
  <c r="BE13" i="24"/>
  <c r="U22" i="26"/>
  <c r="H22" i="26" s="1"/>
  <c r="V22" i="26" s="1"/>
  <c r="U24" i="26"/>
  <c r="H24" i="26" s="1"/>
  <c r="W24" i="26" s="1"/>
  <c r="H16" i="26"/>
  <c r="W16" i="26" s="1"/>
  <c r="BE14" i="26"/>
  <c r="BE16" i="26"/>
  <c r="U21" i="26"/>
  <c r="H21" i="26" s="1"/>
  <c r="V21" i="26" s="1"/>
  <c r="I25" i="26"/>
  <c r="G8" i="5" s="1"/>
  <c r="AE25" i="26"/>
  <c r="AC8" i="5" s="1"/>
  <c r="BE15" i="26"/>
  <c r="BE17" i="26"/>
  <c r="BE19" i="26"/>
  <c r="AE195" i="25"/>
  <c r="AC7" i="5" s="1"/>
  <c r="U22" i="23"/>
  <c r="H22" i="23" s="1"/>
  <c r="W22" i="23" s="1"/>
  <c r="U24" i="23"/>
  <c r="H24" i="23" s="1"/>
  <c r="V24" i="23" s="1"/>
  <c r="BE28" i="23"/>
  <c r="BE30" i="23"/>
  <c r="BE32" i="23"/>
  <c r="H34" i="23"/>
  <c r="W34" i="23" s="1"/>
  <c r="BE38" i="23"/>
  <c r="BE40" i="23"/>
  <c r="BE20" i="23"/>
  <c r="BE22" i="23"/>
  <c r="BE24" i="23"/>
  <c r="I42" i="23"/>
  <c r="G6" i="5" s="1"/>
  <c r="BE14" i="23"/>
  <c r="BE16" i="23"/>
  <c r="U31" i="23"/>
  <c r="H31" i="23" s="1"/>
  <c r="W31" i="23" s="1"/>
  <c r="U41" i="23"/>
  <c r="H41" i="23" s="1"/>
  <c r="V41" i="23" s="1"/>
  <c r="U23" i="23"/>
  <c r="H23" i="23" s="1"/>
  <c r="V23" i="23" s="1"/>
  <c r="U37" i="23"/>
  <c r="H37" i="23" s="1"/>
  <c r="V37" i="23" s="1"/>
  <c r="BE39" i="23"/>
  <c r="BE25" i="23"/>
  <c r="BE27" i="23"/>
  <c r="BE35" i="23"/>
  <c r="BE15" i="23"/>
  <c r="BE17" i="23"/>
  <c r="U38" i="23"/>
  <c r="H38" i="23" s="1"/>
  <c r="W38" i="23" s="1"/>
  <c r="U40" i="23"/>
  <c r="H40" i="23" s="1"/>
  <c r="V40" i="23" s="1"/>
  <c r="BE13" i="27"/>
  <c r="BE14" i="27" s="1"/>
  <c r="BC9" i="5" s="1"/>
  <c r="U13" i="27"/>
  <c r="H13" i="27" s="1"/>
  <c r="X25" i="26"/>
  <c r="V8" i="5" s="1"/>
  <c r="BE13" i="26"/>
  <c r="U13" i="26"/>
  <c r="H13" i="26" s="1"/>
  <c r="BE21" i="26"/>
  <c r="BE18" i="26"/>
  <c r="X195" i="25"/>
  <c r="V7" i="5" s="1"/>
  <c r="I195" i="25"/>
  <c r="G7" i="5" s="1"/>
  <c r="I80" i="24"/>
  <c r="G10" i="5" s="1"/>
  <c r="AE80" i="24"/>
  <c r="AC10" i="5" s="1"/>
  <c r="U13" i="24"/>
  <c r="H13" i="24" s="1"/>
  <c r="X80" i="24"/>
  <c r="V10" i="5" s="1"/>
  <c r="BE12" i="24"/>
  <c r="U14" i="24"/>
  <c r="H14" i="24" s="1"/>
  <c r="BE21" i="23"/>
  <c r="BE37" i="23"/>
  <c r="BE29" i="23"/>
  <c r="X42" i="23"/>
  <c r="V6" i="5" s="1"/>
  <c r="BE18" i="23"/>
  <c r="BE26" i="23"/>
  <c r="BE34" i="2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12" i="3"/>
  <c r="W27" i="23" l="1"/>
  <c r="V27" i="23"/>
  <c r="V12" i="27"/>
  <c r="W12" i="27"/>
  <c r="W20" i="26"/>
  <c r="V20" i="26"/>
  <c r="V16" i="26"/>
  <c r="W36" i="23"/>
  <c r="V36" i="23"/>
  <c r="H14" i="27"/>
  <c r="F9" i="5" s="1"/>
  <c r="W23" i="26"/>
  <c r="BE25" i="26"/>
  <c r="BC8" i="5" s="1"/>
  <c r="V15" i="26"/>
  <c r="V24" i="26"/>
  <c r="W22" i="26"/>
  <c r="V12" i="26"/>
  <c r="V18" i="26"/>
  <c r="W21" i="26"/>
  <c r="V17" i="26"/>
  <c r="V14" i="26"/>
  <c r="W19" i="26"/>
  <c r="W30" i="23"/>
  <c r="W21" i="23"/>
  <c r="V31" i="23"/>
  <c r="W16" i="23"/>
  <c r="V16" i="23"/>
  <c r="V17" i="23"/>
  <c r="V20" i="23"/>
  <c r="V25" i="23"/>
  <c r="W28" i="23"/>
  <c r="V28" i="23"/>
  <c r="V18" i="23"/>
  <c r="W24" i="23"/>
  <c r="V38" i="23"/>
  <c r="W15" i="23"/>
  <c r="V29" i="23"/>
  <c r="V22" i="23"/>
  <c r="W19" i="23"/>
  <c r="BE42" i="23"/>
  <c r="BC6" i="5" s="1"/>
  <c r="W37" i="23"/>
  <c r="W41" i="23"/>
  <c r="W40" i="23"/>
  <c r="V32" i="23"/>
  <c r="W35" i="23"/>
  <c r="V34" i="23"/>
  <c r="V33" i="23"/>
  <c r="W39" i="23"/>
  <c r="W23" i="23"/>
  <c r="V12" i="24"/>
  <c r="H80" i="24"/>
  <c r="U80" i="24"/>
  <c r="S10" i="5" s="1"/>
  <c r="BE195" i="25"/>
  <c r="BC7" i="5" s="1"/>
  <c r="U42" i="23"/>
  <c r="S6" i="5" s="1"/>
  <c r="V14" i="23"/>
  <c r="V26" i="23"/>
  <c r="W13" i="27"/>
  <c r="V13" i="27"/>
  <c r="U14" i="27"/>
  <c r="S9" i="5" s="1"/>
  <c r="W13" i="26"/>
  <c r="V13" i="26"/>
  <c r="H25" i="26"/>
  <c r="F8" i="5" s="1"/>
  <c r="U25" i="26"/>
  <c r="S8" i="5" s="1"/>
  <c r="H195" i="25"/>
  <c r="F7" i="5" s="1"/>
  <c r="U195" i="25"/>
  <c r="S7" i="5" s="1"/>
  <c r="V13" i="24"/>
  <c r="W13" i="24"/>
  <c r="BE80" i="24"/>
  <c r="BC10" i="5" s="1"/>
  <c r="W14" i="24"/>
  <c r="V14" i="24"/>
  <c r="H42" i="23"/>
  <c r="F6" i="5" s="1"/>
  <c r="E2" i="5"/>
  <c r="F2" i="5"/>
  <c r="D2" i="5"/>
  <c r="X13" i="17"/>
  <c r="X12" i="17"/>
  <c r="C125" i="17"/>
  <c r="C7" i="17"/>
  <c r="C6" i="17"/>
  <c r="C5" i="17"/>
  <c r="C3" i="17"/>
  <c r="C2" i="17"/>
  <c r="C1" i="17"/>
  <c r="BD119" i="17"/>
  <c r="BB5" i="5" s="1"/>
  <c r="BC119" i="17"/>
  <c r="BA5" i="5" s="1"/>
  <c r="BB119" i="17"/>
  <c r="AZ5" i="5" s="1"/>
  <c r="BA119" i="17"/>
  <c r="AY5" i="5" s="1"/>
  <c r="AZ119" i="17"/>
  <c r="AX5" i="5" s="1"/>
  <c r="AY119" i="17"/>
  <c r="AW5" i="5" s="1"/>
  <c r="AX119" i="17"/>
  <c r="AV5" i="5" s="1"/>
  <c r="AW119" i="17"/>
  <c r="AU5" i="5" s="1"/>
  <c r="AV119" i="17"/>
  <c r="AT5" i="5" s="1"/>
  <c r="AS5" i="5"/>
  <c r="AR5" i="5"/>
  <c r="AQ5" i="5"/>
  <c r="AQ119" i="17"/>
  <c r="AO5" i="5" s="1"/>
  <c r="AP119" i="17"/>
  <c r="AN5" i="5" s="1"/>
  <c r="AO119" i="17"/>
  <c r="AM5" i="5" s="1"/>
  <c r="AN119" i="17"/>
  <c r="AL5" i="5" s="1"/>
  <c r="AM119" i="17"/>
  <c r="AK5" i="5" s="1"/>
  <c r="AL119" i="17"/>
  <c r="AJ5" i="5" s="1"/>
  <c r="AK119" i="17"/>
  <c r="AI5" i="5" s="1"/>
  <c r="AJ119" i="17"/>
  <c r="AH5" i="5" s="1"/>
  <c r="AI119" i="17"/>
  <c r="AG5" i="5" s="1"/>
  <c r="AH119" i="17"/>
  <c r="AF5" i="5" s="1"/>
  <c r="AG119" i="17"/>
  <c r="AE5" i="5" s="1"/>
  <c r="AF119" i="17"/>
  <c r="AD5" i="5" s="1"/>
  <c r="AB119" i="17"/>
  <c r="Z5" i="5" s="1"/>
  <c r="Z11" i="5" s="1"/>
  <c r="AA119" i="17"/>
  <c r="Y5" i="5" s="1"/>
  <c r="Y11" i="5" s="1"/>
  <c r="Z119" i="17"/>
  <c r="X5" i="5" s="1"/>
  <c r="Y119" i="17"/>
  <c r="W5" i="5" s="1"/>
  <c r="J119" i="17"/>
  <c r="H5" i="5" s="1"/>
  <c r="F119" i="17"/>
  <c r="D5" i="5" s="1"/>
  <c r="AE13" i="17"/>
  <c r="I13" i="17"/>
  <c r="AE12" i="17"/>
  <c r="I12" i="17"/>
  <c r="S2" i="5"/>
  <c r="H2" i="5"/>
  <c r="C2" i="5"/>
  <c r="AE26" i="3"/>
  <c r="U26" i="3" s="1"/>
  <c r="AE27" i="3"/>
  <c r="U27" i="3" s="1"/>
  <c r="AE28" i="3"/>
  <c r="AE29" i="3"/>
  <c r="AE30" i="3"/>
  <c r="AE31" i="3"/>
  <c r="AE32" i="3"/>
  <c r="AE33" i="3"/>
  <c r="AE34" i="3"/>
  <c r="AE35" i="3"/>
  <c r="AE36" i="3"/>
  <c r="AE37" i="3"/>
  <c r="AE38" i="3"/>
  <c r="AE39" i="3"/>
  <c r="AE25" i="3"/>
  <c r="I27" i="3"/>
  <c r="AE13" i="3"/>
  <c r="U13" i="3" s="1"/>
  <c r="I12" i="3"/>
  <c r="I14" i="3"/>
  <c r="AE14" i="3"/>
  <c r="U14" i="3" s="1"/>
  <c r="I13" i="3"/>
  <c r="I15" i="3"/>
  <c r="I16" i="3"/>
  <c r="I17" i="3"/>
  <c r="I18" i="3"/>
  <c r="I19" i="3"/>
  <c r="I20" i="3"/>
  <c r="I21" i="3"/>
  <c r="I22" i="3"/>
  <c r="I23" i="3"/>
  <c r="I24" i="3"/>
  <c r="I25" i="3"/>
  <c r="I26" i="3"/>
  <c r="I28" i="3"/>
  <c r="I29" i="3"/>
  <c r="I30" i="3"/>
  <c r="I31" i="3"/>
  <c r="I32" i="3"/>
  <c r="I33" i="3"/>
  <c r="I34" i="3"/>
  <c r="I35" i="3"/>
  <c r="I36" i="3"/>
  <c r="I37" i="3"/>
  <c r="I38" i="3"/>
  <c r="I39" i="3"/>
  <c r="W14" i="27" l="1"/>
  <c r="U9" i="5" s="1"/>
  <c r="V80" i="24"/>
  <c r="T10" i="5" s="1"/>
  <c r="F10" i="5"/>
  <c r="V14" i="27"/>
  <c r="T9" i="5" s="1"/>
  <c r="W80" i="24"/>
  <c r="U10" i="5" s="1"/>
  <c r="W25" i="26"/>
  <c r="U8" i="5" s="1"/>
  <c r="V25" i="26"/>
  <c r="T8" i="5" s="1"/>
  <c r="W195" i="25"/>
  <c r="U7" i="5" s="1"/>
  <c r="V195" i="25"/>
  <c r="T7" i="5" s="1"/>
  <c r="W42" i="23"/>
  <c r="U6" i="5" s="1"/>
  <c r="V42" i="23"/>
  <c r="T6" i="5" s="1"/>
  <c r="U13" i="17"/>
  <c r="H13" i="17" s="1"/>
  <c r="X119" i="17"/>
  <c r="V5" i="5" s="1"/>
  <c r="H14" i="3"/>
  <c r="V14" i="3" s="1"/>
  <c r="H13" i="3"/>
  <c r="BE26" i="3"/>
  <c r="H26" i="3"/>
  <c r="V26" i="3" s="1"/>
  <c r="H27" i="3"/>
  <c r="V27" i="3" s="1"/>
  <c r="BE34" i="3"/>
  <c r="H11" i="5"/>
  <c r="BE36" i="3"/>
  <c r="BE35" i="3"/>
  <c r="BE37" i="3"/>
  <c r="BE29" i="3"/>
  <c r="D11" i="5"/>
  <c r="X11" i="5"/>
  <c r="W11" i="5"/>
  <c r="BE12" i="17"/>
  <c r="AE119" i="17"/>
  <c r="AC5" i="5" s="1"/>
  <c r="I119" i="17"/>
  <c r="G5" i="5" s="1"/>
  <c r="U12" i="17"/>
  <c r="BE13" i="17"/>
  <c r="BE27" i="3"/>
  <c r="BE25" i="3"/>
  <c r="BE33" i="3"/>
  <c r="BE32" i="3"/>
  <c r="BE39" i="3"/>
  <c r="BE38" i="3"/>
  <c r="U38" i="3"/>
  <c r="BE30" i="3"/>
  <c r="U39" i="3"/>
  <c r="BE28" i="3"/>
  <c r="BE31" i="3"/>
  <c r="W27" i="3" l="1"/>
  <c r="V11" i="5"/>
  <c r="G11" i="5"/>
  <c r="U119" i="17"/>
  <c r="S5" i="5" s="1"/>
  <c r="BE119" i="17"/>
  <c r="BC5" i="5" s="1"/>
  <c r="V13" i="17"/>
  <c r="W13" i="17"/>
  <c r="H12" i="17"/>
  <c r="W26" i="3"/>
  <c r="S11" i="5" l="1"/>
  <c r="V12" i="17"/>
  <c r="W12" i="17"/>
  <c r="H119" i="17"/>
  <c r="F5" i="5" s="1"/>
  <c r="AE12" i="3"/>
  <c r="U12" i="3" s="1"/>
  <c r="H12" i="3" s="1"/>
  <c r="AO415" i="3"/>
  <c r="AT3" i="5" l="1"/>
  <c r="AT11" i="5" s="1"/>
  <c r="AS3" i="5"/>
  <c r="AS11" i="5" s="1"/>
  <c r="AQ3" i="5"/>
  <c r="AQ11" i="5" s="1"/>
  <c r="AM3" i="5"/>
  <c r="AM11" i="5" s="1"/>
  <c r="F11" i="5"/>
  <c r="W119" i="17"/>
  <c r="U5" i="5" s="1"/>
  <c r="V119" i="17"/>
  <c r="T5" i="5" s="1"/>
  <c r="U28" i="3"/>
  <c r="H28" i="3" s="1"/>
  <c r="U29" i="3"/>
  <c r="H29" i="3" s="1"/>
  <c r="U30" i="3"/>
  <c r="H30" i="3" s="1"/>
  <c r="U31" i="3"/>
  <c r="H31" i="3" s="1"/>
  <c r="U32" i="3"/>
  <c r="H32" i="3" s="1"/>
  <c r="U33" i="3"/>
  <c r="H33" i="3" s="1"/>
  <c r="U34" i="3"/>
  <c r="H34" i="3" s="1"/>
  <c r="U36" i="3"/>
  <c r="H36" i="3" s="1"/>
  <c r="U37" i="3"/>
  <c r="H37" i="3" s="1"/>
  <c r="BD415" i="3"/>
  <c r="BB3" i="5" s="1"/>
  <c r="BC415" i="3"/>
  <c r="BB415" i="3"/>
  <c r="BA415" i="3"/>
  <c r="AZ415" i="3"/>
  <c r="AY415" i="3"/>
  <c r="AX415" i="3"/>
  <c r="AW415" i="3"/>
  <c r="AP415" i="3"/>
  <c r="AN415" i="3"/>
  <c r="AM415" i="3"/>
  <c r="AL415" i="3"/>
  <c r="AK415" i="3"/>
  <c r="AJ415" i="3"/>
  <c r="AI415" i="3"/>
  <c r="AH415" i="3"/>
  <c r="AG415" i="3"/>
  <c r="AF415" i="3"/>
  <c r="AB415" i="3"/>
  <c r="Z3" i="5" s="1"/>
  <c r="AA415" i="3"/>
  <c r="Y3" i="5" s="1"/>
  <c r="Z415" i="3"/>
  <c r="X3" i="5" s="1"/>
  <c r="Y415" i="3"/>
  <c r="W3" i="5" s="1"/>
  <c r="L415" i="3"/>
  <c r="J3" i="5" s="1"/>
  <c r="K415" i="3"/>
  <c r="I3" i="5" s="1"/>
  <c r="J415" i="3"/>
  <c r="H3" i="5" s="1"/>
  <c r="F415" i="3"/>
  <c r="D3" i="5" s="1"/>
  <c r="AE24" i="3"/>
  <c r="BE24" i="3" s="1"/>
  <c r="AE23" i="3"/>
  <c r="AE22" i="3"/>
  <c r="AE21" i="3"/>
  <c r="BE21" i="3" s="1"/>
  <c r="AE20" i="3"/>
  <c r="BE20" i="3" s="1"/>
  <c r="AE19" i="3"/>
  <c r="BE19" i="3" s="1"/>
  <c r="AE18" i="3"/>
  <c r="BE18" i="3" s="1"/>
  <c r="AE17" i="3"/>
  <c r="AE16" i="3"/>
  <c r="BE16" i="3" s="1"/>
  <c r="AE15" i="3"/>
  <c r="U15" i="3" s="1"/>
  <c r="H15" i="3" s="1"/>
  <c r="AY3" i="5" l="1"/>
  <c r="AY11" i="5" s="1"/>
  <c r="AZ3" i="5"/>
  <c r="AZ11" i="5" s="1"/>
  <c r="BA3" i="5"/>
  <c r="BA11" i="5" s="1"/>
  <c r="AR3" i="5"/>
  <c r="AR11" i="5" s="1"/>
  <c r="AU3" i="5"/>
  <c r="AU11" i="5" s="1"/>
  <c r="AV3" i="5"/>
  <c r="AV11" i="5" s="1"/>
  <c r="AW3" i="5"/>
  <c r="AW11" i="5" s="1"/>
  <c r="AX3" i="5"/>
  <c r="AX11" i="5" s="1"/>
  <c r="AG3" i="5"/>
  <c r="AG11" i="5" s="1"/>
  <c r="AH3" i="5"/>
  <c r="AH11" i="5" s="1"/>
  <c r="AI3" i="5"/>
  <c r="AI11" i="5" s="1"/>
  <c r="AJ3" i="5"/>
  <c r="AJ11" i="5" s="1"/>
  <c r="AK3" i="5"/>
  <c r="AK11" i="5" s="1"/>
  <c r="AD3" i="5"/>
  <c r="AD11" i="5" s="1"/>
  <c r="AL3" i="5"/>
  <c r="AL11" i="5" s="1"/>
  <c r="AE11" i="5"/>
  <c r="AE3" i="5"/>
  <c r="AN3" i="5"/>
  <c r="AN11" i="5" s="1"/>
  <c r="AF3" i="5"/>
  <c r="AF11" i="5" s="1"/>
  <c r="U11" i="5"/>
  <c r="T11" i="5"/>
  <c r="U23" i="3"/>
  <c r="H23" i="3" s="1"/>
  <c r="BE23" i="3"/>
  <c r="U22" i="3"/>
  <c r="H22" i="3" s="1"/>
  <c r="BE22" i="3"/>
  <c r="U17" i="3"/>
  <c r="H17" i="3" s="1"/>
  <c r="BE17" i="3"/>
  <c r="U25" i="3"/>
  <c r="H25" i="3" s="1"/>
  <c r="U35" i="3"/>
  <c r="H35" i="3" s="1"/>
  <c r="U21" i="3"/>
  <c r="H21" i="3" s="1"/>
  <c r="H39" i="3"/>
  <c r="H38" i="3"/>
  <c r="U18" i="3"/>
  <c r="H18" i="3" s="1"/>
  <c r="U19" i="3"/>
  <c r="H19" i="3" s="1"/>
  <c r="U16" i="3"/>
  <c r="H16" i="3" s="1"/>
  <c r="U20" i="3"/>
  <c r="H20" i="3" s="1"/>
  <c r="U24" i="3"/>
  <c r="H24" i="3" s="1"/>
  <c r="AE415" i="3"/>
  <c r="AC3" i="5" s="1"/>
  <c r="BE15" i="3"/>
  <c r="BE12" i="3"/>
  <c r="BE13" i="3"/>
  <c r="BE14" i="3"/>
  <c r="X415" i="3"/>
  <c r="V3" i="5" s="1"/>
  <c r="I415" i="3"/>
  <c r="G3" i="5" s="1"/>
  <c r="W35" i="3" l="1"/>
  <c r="V35" i="3"/>
  <c r="V25" i="3"/>
  <c r="W25" i="3"/>
  <c r="W39" i="3"/>
  <c r="V39" i="3"/>
  <c r="W38" i="3"/>
  <c r="V38" i="3"/>
  <c r="V37" i="3"/>
  <c r="W37" i="3"/>
  <c r="W32" i="3"/>
  <c r="V32" i="3"/>
  <c r="W31" i="3"/>
  <c r="V31" i="3"/>
  <c r="V24" i="3"/>
  <c r="W24" i="3"/>
  <c r="W30" i="3"/>
  <c r="V30" i="3"/>
  <c r="W28" i="3"/>
  <c r="V28" i="3"/>
  <c r="V36" i="3"/>
  <c r="W36" i="3"/>
  <c r="W34" i="3"/>
  <c r="V34" i="3"/>
  <c r="V33" i="3"/>
  <c r="W33" i="3"/>
  <c r="W29" i="3"/>
  <c r="V29" i="3"/>
  <c r="U415" i="3"/>
  <c r="S3" i="5" s="1"/>
  <c r="V21" i="3"/>
  <c r="W21" i="3"/>
  <c r="V17" i="3"/>
  <c r="W17" i="3"/>
  <c r="V22" i="3"/>
  <c r="W22" i="3"/>
  <c r="V13" i="3"/>
  <c r="W13" i="3"/>
  <c r="W14" i="3"/>
  <c r="V19" i="3"/>
  <c r="W19" i="3"/>
  <c r="V16" i="3"/>
  <c r="W16" i="3"/>
  <c r="V20" i="3"/>
  <c r="W20" i="3"/>
  <c r="V23" i="3"/>
  <c r="W23" i="3"/>
  <c r="V18" i="3"/>
  <c r="W18" i="3"/>
  <c r="V15" i="3"/>
  <c r="W15" i="3"/>
  <c r="BE415" i="3"/>
  <c r="W12" i="3"/>
  <c r="BC3" i="5" l="1"/>
  <c r="BC11" i="5" s="1"/>
  <c r="H415" i="3"/>
  <c r="F3" i="5" s="1"/>
  <c r="V12" i="3"/>
  <c r="V415" i="3" l="1"/>
  <c r="T3" i="5" s="1"/>
  <c r="W415" i="3"/>
  <c r="U3" i="5" s="1"/>
</calcChain>
</file>

<file path=xl/sharedStrings.xml><?xml version="1.0" encoding="utf-8"?>
<sst xmlns="http://schemas.openxmlformats.org/spreadsheetml/2006/main" count="1315" uniqueCount="409">
  <si>
    <t>T.Erro</t>
  </si>
  <si>
    <t>Válidas</t>
  </si>
  <si>
    <t>Total</t>
  </si>
  <si>
    <t>Registros</t>
  </si>
  <si>
    <t>Erro Técnico</t>
  </si>
  <si>
    <t>Invalidação na Análise</t>
  </si>
  <si>
    <t>Inválidas</t>
  </si>
  <si>
    <t>Fluxo</t>
  </si>
  <si>
    <t>MEDIÇÃO DE SERVIÇOS</t>
  </si>
  <si>
    <t>DATA DA ELABORAÇÃO DA MEDIÇÃO</t>
  </si>
  <si>
    <t>% Medido</t>
  </si>
  <si>
    <t>Faixa</t>
  </si>
  <si>
    <t>ITEM</t>
  </si>
  <si>
    <t>ITEM 01</t>
  </si>
  <si>
    <t>GERAL</t>
  </si>
  <si>
    <t>Ilegíveis</t>
  </si>
  <si>
    <t>Legíveis</t>
  </si>
  <si>
    <t>ENDEREÇO</t>
  </si>
  <si>
    <t>% Perda</t>
  </si>
  <si>
    <t>Dias Func.</t>
  </si>
  <si>
    <t>FORA DE FOCO</t>
  </si>
  <si>
    <t>PROBLEMAS TÉCNICOS</t>
  </si>
  <si>
    <t>OUTROS</t>
  </si>
  <si>
    <t>SINALIZAÇÃO INSUFICIENTE</t>
  </si>
  <si>
    <t>ITEM 02</t>
  </si>
  <si>
    <t>ITEM 03</t>
  </si>
  <si>
    <t>Aparecida de Goiânia - CEP 74.911-810</t>
  </si>
  <si>
    <t>Rua Itu, S/N, QD 03 LT 1-E, Sl 1001/1002, Torre 2, Edif. B E B Business, Vl Brasília</t>
  </si>
  <si>
    <t>DATA DA ASSINATURA: 19/12/2024</t>
  </si>
  <si>
    <t>LOCAL: Diversas vias do Município de Goiânia</t>
  </si>
  <si>
    <t>PRAZO DE EXECUÇÃO DOS SERVIÇOS: 60 Meses</t>
  </si>
  <si>
    <t>ITEM 04</t>
  </si>
  <si>
    <t>ITEM 05</t>
  </si>
  <si>
    <t>ITEM 06</t>
  </si>
  <si>
    <t>ITEM 1</t>
  </si>
  <si>
    <t>ITEM 2</t>
  </si>
  <si>
    <t>ITEM 3</t>
  </si>
  <si>
    <t>ITEM 4</t>
  </si>
  <si>
    <t>ITEM 5</t>
  </si>
  <si>
    <t>ITEM 6</t>
  </si>
  <si>
    <t>Equip</t>
  </si>
  <si>
    <t>Item</t>
  </si>
  <si>
    <t>Radar Fixo</t>
  </si>
  <si>
    <t>Redutor Eletrônico</t>
  </si>
  <si>
    <t>Radar Misto</t>
  </si>
  <si>
    <t>Faixa Exclusiva</t>
  </si>
  <si>
    <t>Pórtátil Tipo Pistola</t>
  </si>
  <si>
    <t>Videomonitoramento</t>
  </si>
  <si>
    <t>FALTA DE LUMINOSIDADE (IMAGEM ESCURA)</t>
  </si>
  <si>
    <t>IMAGEM SEM VEÍCULO</t>
  </si>
  <si>
    <t>PLACA REFLETIVA</t>
  </si>
  <si>
    <t>VEÍCULO FORA DE ENQUADRAMENTO (CAMERA DESALINHADA)</t>
  </si>
  <si>
    <t>INTERFERÊNCIA FÍSICA</t>
  </si>
  <si>
    <t>PLACA ENCOBERTA PROPOSITALMENTE (OBSTRUÇÃO INTENCIONAL)</t>
  </si>
  <si>
    <t>PLACA ILEGÍVEL</t>
  </si>
  <si>
    <t>REFLEXO SOL NA PLACA</t>
  </si>
  <si>
    <t>SITUAÇÃO DE DÚVIDA</t>
  </si>
  <si>
    <t>VEÍCULO DE EMERGÊNCIA</t>
  </si>
  <si>
    <t>VEÍCULO ENTRE FAIXAS</t>
  </si>
  <si>
    <t>VEÍCULO NAO CADASTRADO (SEM CADASTRO)</t>
  </si>
  <si>
    <t>DIVERGÊNCIA DE CADASTRO</t>
  </si>
  <si>
    <t>OBRA: Contratação de empresa para para fornecimento de equipamentos novos e sem uso e de
sistemas voltados à segurança global das vias sob circunscrição da Secretaria Municipal de
Mobilidade</t>
  </si>
  <si>
    <t>DATA DA ORDEM DE SERVIÇO: 19/12/2024</t>
  </si>
  <si>
    <t xml:space="preserve">Pregão Eletrônico Nº 90007/2024 - Processo nº 23.13.000003872-9 </t>
  </si>
  <si>
    <t>Consórcio Anhanguera Segurança</t>
  </si>
  <si>
    <t>CONTRATO NÚMERO: 018/2024</t>
  </si>
  <si>
    <t>PROCESSO SEI MÃE: 23.13.000003872-9</t>
  </si>
  <si>
    <t>CNPJ: 58.516.417/0001-91</t>
  </si>
  <si>
    <t>CONTRATADA: CONSÓRCIO ANHANGUERA SEGURANÇA</t>
  </si>
  <si>
    <t xml:space="preserve">PROCESSO SEI: 24.13.000008566-8 </t>
  </si>
  <si>
    <t>E-MAIL: comercial@laborengenharia.com</t>
  </si>
  <si>
    <t>GYN2L131</t>
  </si>
  <si>
    <t>GYN7M101</t>
  </si>
  <si>
    <t>GYN2L131-1</t>
  </si>
  <si>
    <t>GYN2L131-2</t>
  </si>
  <si>
    <t>GYN7M101-1</t>
  </si>
  <si>
    <t>GYN7M101-2</t>
  </si>
  <si>
    <t>AV PROF ALFREDO DE CASTRO, 0, QD AREA LT 4 B, LESTE/OESTE</t>
  </si>
  <si>
    <t>Av. Padre Orlando de M. X Av. Alexandre de Morais, 0, Prox. Assaí, SUL/NORTE</t>
  </si>
  <si>
    <t>MÊS DE REFERÊNCIA: Abril de 2025</t>
  </si>
  <si>
    <t>NÚMERO DA MEDIÇÃO: 002</t>
  </si>
  <si>
    <t>GOIÂNIA, 01 DE SETEMBRO DE 2024</t>
  </si>
  <si>
    <t>IMAGEM REPETIDA (EM DUPLICIDADE)</t>
  </si>
  <si>
    <t>DIVERGÊNCIA IMAGEM (PAN / ZOOM)</t>
  </si>
  <si>
    <t>IMAGEM SEM PANORÂMICA/ZOOM</t>
  </si>
  <si>
    <t>EXCESSO DE LUMINOSIDADE</t>
  </si>
  <si>
    <t>FORA DO PRAZO</t>
  </si>
  <si>
    <t>Equipamento</t>
  </si>
  <si>
    <t>Tipo</t>
  </si>
  <si>
    <t>Equipame</t>
  </si>
  <si>
    <t>GYN1R041-1</t>
  </si>
  <si>
    <t>GYN1R041</t>
  </si>
  <si>
    <t>GYN1R041-2</t>
  </si>
  <si>
    <t>GYN1R042-1</t>
  </si>
  <si>
    <t>GYN1R042</t>
  </si>
  <si>
    <t>GYN1R042-2</t>
  </si>
  <si>
    <t>GYN1R043-1</t>
  </si>
  <si>
    <t>GYN1R043</t>
  </si>
  <si>
    <t>GYN1R043-2</t>
  </si>
  <si>
    <t>GYN1R044-1</t>
  </si>
  <si>
    <t>GYN1R044</t>
  </si>
  <si>
    <t>GYN1R044-2</t>
  </si>
  <si>
    <t>GYN1R045-1</t>
  </si>
  <si>
    <t>GYN1R045</t>
  </si>
  <si>
    <t>GYN1R045-2</t>
  </si>
  <si>
    <t>GYN1R046-1</t>
  </si>
  <si>
    <t>GYN1R046</t>
  </si>
  <si>
    <t>GYN1R046-2</t>
  </si>
  <si>
    <t>GYN1R047-1</t>
  </si>
  <si>
    <t>GYN1R047</t>
  </si>
  <si>
    <t>GYN1R047-2</t>
  </si>
  <si>
    <t>GYN1R048-1</t>
  </si>
  <si>
    <t>GYN1R048</t>
  </si>
  <si>
    <t>GYN1R048-2</t>
  </si>
  <si>
    <t>GYN1R049-1</t>
  </si>
  <si>
    <t>GYN1R049</t>
  </si>
  <si>
    <t>GYN1R049-2</t>
  </si>
  <si>
    <t>GYN1R050-1</t>
  </si>
  <si>
    <t>GYN1R050</t>
  </si>
  <si>
    <t>GYN1R050-2</t>
  </si>
  <si>
    <t>GYN1R051-1</t>
  </si>
  <si>
    <t>GYN1R051</t>
  </si>
  <si>
    <t>GYN1R051-2</t>
  </si>
  <si>
    <t>GYN1R051-3</t>
  </si>
  <si>
    <t>GYN1R052-1</t>
  </si>
  <si>
    <t>GYN1R052</t>
  </si>
  <si>
    <t>GYN1R052-2</t>
  </si>
  <si>
    <t>GYN1R053-1</t>
  </si>
  <si>
    <t>GYN1R053</t>
  </si>
  <si>
    <t>GYN1R053-2</t>
  </si>
  <si>
    <t>GYN1R142-1</t>
  </si>
  <si>
    <t>GYN1R142</t>
  </si>
  <si>
    <t>GYN1R142-2</t>
  </si>
  <si>
    <t>GYN1R142-3</t>
  </si>
  <si>
    <t>GYN1R144-1</t>
  </si>
  <si>
    <t>GYN1R144</t>
  </si>
  <si>
    <t>GYN1R144-2</t>
  </si>
  <si>
    <t>GYN1R145-3</t>
  </si>
  <si>
    <t>GYN1R145</t>
  </si>
  <si>
    <t>GYN1R145-4</t>
  </si>
  <si>
    <t>GYN1R146-3</t>
  </si>
  <si>
    <t>GYN1R146</t>
  </si>
  <si>
    <t>GYN1R146-4</t>
  </si>
  <si>
    <t>GYN1R147-1</t>
  </si>
  <si>
    <t>GYN1R147</t>
  </si>
  <si>
    <t>GYN1R147-2</t>
  </si>
  <si>
    <t>GYN1R148-1</t>
  </si>
  <si>
    <t>GYN1R148</t>
  </si>
  <si>
    <t>GYN1R148-2</t>
  </si>
  <si>
    <t>GYN1R149-1</t>
  </si>
  <si>
    <t>GYN1R149</t>
  </si>
  <si>
    <t>GYN1R149-2</t>
  </si>
  <si>
    <t>GYN1R150-1</t>
  </si>
  <si>
    <t>GYN1R150</t>
  </si>
  <si>
    <t>GYN1R150-2</t>
  </si>
  <si>
    <t>GYN1R151-3</t>
  </si>
  <si>
    <t>GYN1R151</t>
  </si>
  <si>
    <t>GYN1R151-4</t>
  </si>
  <si>
    <t>GYN2L031-1</t>
  </si>
  <si>
    <t>GYN2L031</t>
  </si>
  <si>
    <t>GYN2L031-2</t>
  </si>
  <si>
    <t>GYN2L032-1</t>
  </si>
  <si>
    <t>GYN2L032</t>
  </si>
  <si>
    <t>GYN2L032-2</t>
  </si>
  <si>
    <t>GYN2L033-1</t>
  </si>
  <si>
    <t>GYN2L033</t>
  </si>
  <si>
    <t>GYN2L033-2</t>
  </si>
  <si>
    <t>GYN2L034-1</t>
  </si>
  <si>
    <t>GYN2L034</t>
  </si>
  <si>
    <t>GYN2L034-2</t>
  </si>
  <si>
    <t>GYN2L132-1</t>
  </si>
  <si>
    <t>GYN2L132</t>
  </si>
  <si>
    <t>GYN2L132-2</t>
  </si>
  <si>
    <t>GYN2L133-3</t>
  </si>
  <si>
    <t>GYN2L133</t>
  </si>
  <si>
    <t>GYN2L133-4</t>
  </si>
  <si>
    <t>GYN2L134-1</t>
  </si>
  <si>
    <t>GYN2L134</t>
  </si>
  <si>
    <t>GYN2L134-2</t>
  </si>
  <si>
    <t>GYN2L135-1</t>
  </si>
  <si>
    <t>GYN2L135</t>
  </si>
  <si>
    <t>GYN2L135-2</t>
  </si>
  <si>
    <t>GYN2L136-3</t>
  </si>
  <si>
    <t>GYN2L136</t>
  </si>
  <si>
    <t>GYN2L136-4</t>
  </si>
  <si>
    <t>GYN6O161-3</t>
  </si>
  <si>
    <t>GYN6O161</t>
  </si>
  <si>
    <t>GYN6O163-3</t>
  </si>
  <si>
    <t>GYN6O163</t>
  </si>
  <si>
    <t>GYN6O164-3</t>
  </si>
  <si>
    <t>GYN6O164</t>
  </si>
  <si>
    <t>GYN6O165-3</t>
  </si>
  <si>
    <t>GYN6O165</t>
  </si>
  <si>
    <t>GYN6O166-3</t>
  </si>
  <si>
    <t>GYN6O166</t>
  </si>
  <si>
    <t>GYN6O167-3</t>
  </si>
  <si>
    <t>GYN6O167</t>
  </si>
  <si>
    <t>GYN6O168-3</t>
  </si>
  <si>
    <t>GYN6O168</t>
  </si>
  <si>
    <t>GYN6O169-3</t>
  </si>
  <si>
    <t>GYN6O169</t>
  </si>
  <si>
    <t>GYN6O170-3</t>
  </si>
  <si>
    <t>GYN6O170</t>
  </si>
  <si>
    <t>GYN6O174-3</t>
  </si>
  <si>
    <t>GYN6O174</t>
  </si>
  <si>
    <t>GYN7M001-1</t>
  </si>
  <si>
    <t>GYN7M001</t>
  </si>
  <si>
    <t>GYN7M001-2</t>
  </si>
  <si>
    <t>GYN7M002-1</t>
  </si>
  <si>
    <t>GYN7M002</t>
  </si>
  <si>
    <t>GYN7M002-2</t>
  </si>
  <si>
    <t>GYN7M002-3</t>
  </si>
  <si>
    <t>GYN7M003-1</t>
  </si>
  <si>
    <t>GYN7M003</t>
  </si>
  <si>
    <t>GYN7M003-2</t>
  </si>
  <si>
    <t>GYN7M003-3</t>
  </si>
  <si>
    <t>GYN7M004-1</t>
  </si>
  <si>
    <t>GYN7M004</t>
  </si>
  <si>
    <t>GYN7M004-2</t>
  </si>
  <si>
    <t>GYN7M004-3</t>
  </si>
  <si>
    <t>GYN7M005-1</t>
  </si>
  <si>
    <t>GYN7M005</t>
  </si>
  <si>
    <t>GYN7M005-2</t>
  </si>
  <si>
    <t>GYN7M005-3</t>
  </si>
  <si>
    <t>GYN7M006-1</t>
  </si>
  <si>
    <t>GYN7M006</t>
  </si>
  <si>
    <t>GYN7M006-2</t>
  </si>
  <si>
    <t>GYN7M006-3</t>
  </si>
  <si>
    <t>GYN7M007-1</t>
  </si>
  <si>
    <t>GYN7M007</t>
  </si>
  <si>
    <t>GYN7M007-2</t>
  </si>
  <si>
    <t>GYN7M007-3</t>
  </si>
  <si>
    <t>GYN7M008-1</t>
  </si>
  <si>
    <t>GYN7M008</t>
  </si>
  <si>
    <t>GYN7M008-2</t>
  </si>
  <si>
    <t>GYN7M008-3</t>
  </si>
  <si>
    <t>GYN7M009-1</t>
  </si>
  <si>
    <t>GYN7M009</t>
  </si>
  <si>
    <t>GYN7M009-2</t>
  </si>
  <si>
    <t>GYN7M009-3</t>
  </si>
  <si>
    <t>GYN7M010-1</t>
  </si>
  <si>
    <t>GYN7M010</t>
  </si>
  <si>
    <t>GYN7M010-2</t>
  </si>
  <si>
    <t>GYN7M010-3</t>
  </si>
  <si>
    <t>GYN7M011-1</t>
  </si>
  <si>
    <t>GYN7M011</t>
  </si>
  <si>
    <t>GYN7M011-2</t>
  </si>
  <si>
    <t>GYN7M011-3</t>
  </si>
  <si>
    <t>GYN7M012-1</t>
  </si>
  <si>
    <t>GYN7M012</t>
  </si>
  <si>
    <t>GYN7M012-2</t>
  </si>
  <si>
    <t>GYN7M012-3</t>
  </si>
  <si>
    <t>GYN7M013-1</t>
  </si>
  <si>
    <t>GYN7M013</t>
  </si>
  <si>
    <t>GYN7M013-2</t>
  </si>
  <si>
    <t>GYN7M013-3</t>
  </si>
  <si>
    <t>GYN7M014-1</t>
  </si>
  <si>
    <t>GYN7M014</t>
  </si>
  <si>
    <t>GYN7M014-2</t>
  </si>
  <si>
    <t>GYN7M014-3</t>
  </si>
  <si>
    <t>GYN7M015-1</t>
  </si>
  <si>
    <t>GYN7M015</t>
  </si>
  <si>
    <t>GYN7M015-2</t>
  </si>
  <si>
    <t>GYN7M016-1</t>
  </si>
  <si>
    <t>GYN7M016</t>
  </si>
  <si>
    <t>GYN7M016-2</t>
  </si>
  <si>
    <t>GYN7M017-1</t>
  </si>
  <si>
    <t>GYN7M017</t>
  </si>
  <si>
    <t>GYN7M017-2</t>
  </si>
  <si>
    <t>GYN7M017-3</t>
  </si>
  <si>
    <t>GYN7M018-1</t>
  </si>
  <si>
    <t>GYN7M018</t>
  </si>
  <si>
    <t>GYN7M018-2</t>
  </si>
  <si>
    <t>GYN7M018-3</t>
  </si>
  <si>
    <t>GYN7M019-1</t>
  </si>
  <si>
    <t>GYN7M019</t>
  </si>
  <si>
    <t>GYN7M019-2</t>
  </si>
  <si>
    <t>GYN7M019-3</t>
  </si>
  <si>
    <t>GYN7M020-1</t>
  </si>
  <si>
    <t>GYN7M020</t>
  </si>
  <si>
    <t>GYN7M020-2</t>
  </si>
  <si>
    <t>GYN7M020-3</t>
  </si>
  <si>
    <t>GYN7M021-1</t>
  </si>
  <si>
    <t>GYN7M021</t>
  </si>
  <si>
    <t>GYN7M021-2</t>
  </si>
  <si>
    <t>GYN7M021-3</t>
  </si>
  <si>
    <t>GYN7M022-1</t>
  </si>
  <si>
    <t>GYN7M022</t>
  </si>
  <si>
    <t>GYN7M022-2</t>
  </si>
  <si>
    <t>GYN7M022-3</t>
  </si>
  <si>
    <t>GYN7M023-1</t>
  </si>
  <si>
    <t>GYN7M023</t>
  </si>
  <si>
    <t>GYN7M023-2</t>
  </si>
  <si>
    <t>GYN7M024-1</t>
  </si>
  <si>
    <t>GYN7M024</t>
  </si>
  <si>
    <t>GYN7M024-2</t>
  </si>
  <si>
    <t>GYN7M025-1</t>
  </si>
  <si>
    <t>GYN7M025</t>
  </si>
  <si>
    <t>GYN7M025-2</t>
  </si>
  <si>
    <t>GYN7M102-1</t>
  </si>
  <si>
    <t>GYN7M102</t>
  </si>
  <si>
    <t>GYN7M102-2</t>
  </si>
  <si>
    <t>GYN7M103-1</t>
  </si>
  <si>
    <t>GYN7M103</t>
  </si>
  <si>
    <t>GYN7M103-2</t>
  </si>
  <si>
    <t>GYN7M104-1</t>
  </si>
  <si>
    <t>GYN7M104</t>
  </si>
  <si>
    <t>GYN7M104-2</t>
  </si>
  <si>
    <t>GYN7M104-3</t>
  </si>
  <si>
    <t>GYN7M105-1</t>
  </si>
  <si>
    <t>GYN7M105</t>
  </si>
  <si>
    <t>GYN7M105-2</t>
  </si>
  <si>
    <t>GYN7M105-3</t>
  </si>
  <si>
    <t>GYN7M106-1</t>
  </si>
  <si>
    <t>GYN7M106</t>
  </si>
  <si>
    <t>GYN7M106-2</t>
  </si>
  <si>
    <t>GYN7M106-3</t>
  </si>
  <si>
    <t>GYN7M107-1</t>
  </si>
  <si>
    <t>GYN7M107</t>
  </si>
  <si>
    <t>GYN7M107-2</t>
  </si>
  <si>
    <t>GYN7M107-3</t>
  </si>
  <si>
    <t>GYN7M108-1</t>
  </si>
  <si>
    <t>GYN7M108</t>
  </si>
  <si>
    <t>GYN7M108-2</t>
  </si>
  <si>
    <t>GYN7M108-3</t>
  </si>
  <si>
    <t>GYN7M109-1</t>
  </si>
  <si>
    <t>GYN7M109</t>
  </si>
  <si>
    <t>GYN7M109-2</t>
  </si>
  <si>
    <t>GYN7M109-3</t>
  </si>
  <si>
    <t>GYN7M110-1</t>
  </si>
  <si>
    <t>GYN7M110</t>
  </si>
  <si>
    <t>GYN7M110-2</t>
  </si>
  <si>
    <t>GYN7M110-3</t>
  </si>
  <si>
    <t>GYN7M111-1</t>
  </si>
  <si>
    <t>GYN7M111</t>
  </si>
  <si>
    <t>GYN7M111-2</t>
  </si>
  <si>
    <t>GYN7M111-3</t>
  </si>
  <si>
    <t>GYN7M112-1</t>
  </si>
  <si>
    <t>GYN7M112</t>
  </si>
  <si>
    <t>GYN7M112-2</t>
  </si>
  <si>
    <t>GYN7M112-3</t>
  </si>
  <si>
    <t>GYN7M113-1</t>
  </si>
  <si>
    <t>GYN7M113</t>
  </si>
  <si>
    <t>GYN7M113-2</t>
  </si>
  <si>
    <t>GYN7M113-3</t>
  </si>
  <si>
    <t>GYN7M114-1</t>
  </si>
  <si>
    <t>GYN7M114</t>
  </si>
  <si>
    <t>GYN7M114-2</t>
  </si>
  <si>
    <t>GYN7M114-3</t>
  </si>
  <si>
    <t>GYN7M115-1</t>
  </si>
  <si>
    <t>GYN7M115</t>
  </si>
  <si>
    <t>GYN7M115-2</t>
  </si>
  <si>
    <t>GYN7M115-3</t>
  </si>
  <si>
    <t>GYN7M116-1</t>
  </si>
  <si>
    <t>GYN7M116</t>
  </si>
  <si>
    <t>GYN7M116-2</t>
  </si>
  <si>
    <t>GYN7M116-3</t>
  </si>
  <si>
    <t>GYN7M117-1</t>
  </si>
  <si>
    <t>GYN7M117</t>
  </si>
  <si>
    <t>GYN7M117-2</t>
  </si>
  <si>
    <t>GYN7M117-3</t>
  </si>
  <si>
    <t>GYN7M118-1</t>
  </si>
  <si>
    <t>GYN7M118</t>
  </si>
  <si>
    <t>GYN7M118-2</t>
  </si>
  <si>
    <t>GYN7M118-3</t>
  </si>
  <si>
    <t>GYN7M119-1</t>
  </si>
  <si>
    <t>GYN7M119</t>
  </si>
  <si>
    <t>GYN7M119-2</t>
  </si>
  <si>
    <t>GYN7M119-3</t>
  </si>
  <si>
    <t>GYN7M120-1</t>
  </si>
  <si>
    <t>GYN7M120</t>
  </si>
  <si>
    <t>GYN7M120-2</t>
  </si>
  <si>
    <t>GYN7M120-3</t>
  </si>
  <si>
    <t>GYN7M121-1</t>
  </si>
  <si>
    <t>GYN7M121</t>
  </si>
  <si>
    <t>GYN7M121-2</t>
  </si>
  <si>
    <t>GYN7M121-3</t>
  </si>
  <si>
    <t>DATA DE AFERICÃO INVÁLIDA/SEM VERIFICAÇÃO</t>
  </si>
  <si>
    <t>EQUIPAMENTO EM TESTE</t>
  </si>
  <si>
    <t>ERRO NA TARJA (CONFIGURAÇÕES)</t>
  </si>
  <si>
    <t>IMAGEM DE TESTE</t>
  </si>
  <si>
    <t>IMAGEM ENCOBERTA (VEGETAÇÃO)</t>
  </si>
  <si>
    <t>MAIS DE UM VEÍCULO NA FAIXA</t>
  </si>
  <si>
    <t>MOTO PERMITIDO PARA CIRCULAÇAO NA VIA</t>
  </si>
  <si>
    <t>PEDESTRE OU VEICULO TRACÃO ANIMAL/HUMANA</t>
  </si>
  <si>
    <t>PLACA ESTRANGEIRA</t>
  </si>
  <si>
    <t>PLACA NAO VISUALIZADA</t>
  </si>
  <si>
    <t>SEMAFORO COM DEFEITO</t>
  </si>
  <si>
    <t>VEÍCULO OFICIAL AUTORIZADO</t>
  </si>
  <si>
    <t>VEÍCULO SEM PLACA</t>
  </si>
  <si>
    <t>VEICULO/MOTO NÃO É INFRATOR</t>
  </si>
  <si>
    <t>Av. Independência, S/N, Qd. 61, Lt 9 B, Oeste/Leste</t>
  </si>
  <si>
    <t>Av. Independência, 0,  Qd. 94, Lt 1 B, Leste/Oeste</t>
  </si>
  <si>
    <t>Av. Independência, 0, Qd. 94, Lt 1 B, Leste/Oeste</t>
  </si>
  <si>
    <t>Av. Independência, 0, Qd. 103, Lt. 01, Leste/Oeste</t>
  </si>
  <si>
    <t>Av. Independência, 0, Qd. 83, Lt. 23, Oeste/Leste</t>
  </si>
  <si>
    <t>Av. Antônio Fidélis, 0, Qd. 67, Lt 31, Oeste/Leste</t>
  </si>
  <si>
    <t>Av. Antônio Fidélis, 0, Qd 155 Lt 01E, Leste/Oeste</t>
  </si>
  <si>
    <t>Av. Padre Orlando Morais X Rua Manaus, S/N, Cond. Livre Buritis, Norte/Sul</t>
  </si>
  <si>
    <t>Av. Pe. Orlando Morais X Rua Manaus, S/N, Cond. Livre Buritis, Sul/Norte</t>
  </si>
  <si>
    <t>Av. Independência com Al. Luci Rassi de Oliveira, 0, 0, Leste/Oeste</t>
  </si>
  <si>
    <t>Av. Independência com Al. Luci Rassi de Oliveira , 0, 0, Oeste/Leste</t>
  </si>
  <si>
    <t>Av. Laguna, 0, Oposto Congregação Cristã do Brasil, Norte-Sul</t>
  </si>
  <si>
    <t>Av. Laguna, 0, Em frente a Congregação Cristã do Brasil, Sul/Norte</t>
  </si>
  <si>
    <t>Av. Antônio Fidelis, S/N, Qd. 107, Lt. 9 B, Leste/Oeste</t>
  </si>
  <si>
    <t>Av. Antônio Fidelis, S/N, Qd. 82, Lt. 9 B, Oeste/Leste</t>
  </si>
  <si>
    <t>Av. Hailé Pinheiro x R. Do Golfinho, 0, Qd 38 Lt 28, Oeste-Leste</t>
  </si>
  <si>
    <t>Av. Mutirão x Av. T-10 B, 3210, 0, Norte/Sul</t>
  </si>
  <si>
    <t>Av. Mutirão x Av. T 10 B, 1440, 0, Sul/Norte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</si>
</sst>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9" fontId="9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0" xfId="0" applyFont="1" applyFill="1" applyBorder="1" applyAlignment="1">
      <alignment horizontal="center" textRotation="90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textRotation="90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5" xfId="0" applyBorder="1"/>
    <xf numFmtId="0" fontId="0" fillId="0" borderId="3" xfId="0" applyBorder="1"/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20" xfId="0" applyFont="1" applyFill="1" applyBorder="1" applyAlignment="1">
      <alignment horizontal="center" vertical="center"/>
    </xf>
    <xf numFmtId="10" fontId="0" fillId="0" borderId="14" xfId="0" applyNumberForma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0" fillId="0" borderId="14" xfId="0" applyBorder="1"/>
    <xf numFmtId="0" fontId="1" fillId="2" borderId="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24" xfId="0" applyNumberFormat="1" applyBorder="1" applyAlignment="1">
      <alignment horizontal="center"/>
    </xf>
    <xf numFmtId="0" fontId="1" fillId="3" borderId="15" xfId="0" applyFont="1" applyFill="1" applyBorder="1"/>
    <xf numFmtId="0" fontId="1" fillId="3" borderId="28" xfId="0" applyFont="1" applyFill="1" applyBorder="1"/>
    <xf numFmtId="0" fontId="0" fillId="3" borderId="16" xfId="0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10" fontId="0" fillId="3" borderId="16" xfId="0" applyNumberFormat="1" applyFill="1" applyBorder="1" applyAlignment="1">
      <alignment horizontal="center"/>
    </xf>
    <xf numFmtId="3" fontId="1" fillId="3" borderId="2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1" fillId="3" borderId="28" xfId="0" applyNumberFormat="1" applyFont="1" applyFill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quotePrefix="1" applyFont="1" applyAlignment="1">
      <alignment wrapText="1"/>
    </xf>
    <xf numFmtId="0" fontId="1" fillId="3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5" xfId="0" applyBorder="1" applyAlignment="1">
      <alignment horizontal="left"/>
    </xf>
    <xf numFmtId="3" fontId="0" fillId="0" borderId="18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4" xfId="4" applyNumberFormat="1" applyFont="1" applyBorder="1" applyAlignment="1">
      <alignment horizontal="center"/>
    </xf>
    <xf numFmtId="10" fontId="0" fillId="0" borderId="0" xfId="4" applyNumberFormat="1" applyFont="1"/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EBE57B30-5A62-43E5-8710-731712569B7D}"/>
    <cellStyle name="Porcentagem" xfId="4" builtinId="5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680141" y="2252382"/>
          <a:ext cx="7879977" cy="2980765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E37C38A-AF99-F043-BD3C-2282ED425D48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B3B162F-5EB5-8945-90E5-3129A94AB7AC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43F8E93-730C-274D-AD0F-552FBE9EF4C9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AB59D18-A74D-A749-B2BF-1EAD714DDB98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0A6B535-51A2-2742-A0E7-B9727B5C7D8C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165847</xdr:colOff>
      <xdr:row>7</xdr:row>
      <xdr:rowOff>134470</xdr:rowOff>
    </xdr:from>
    <xdr:to>
      <xdr:col>30</xdr:col>
      <xdr:colOff>493059</xdr:colOff>
      <xdr:row>9</xdr:row>
      <xdr:rowOff>2678206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47F0B7-083F-6245-B1E4-8D17107BAA78}"/>
            </a:ext>
          </a:extLst>
        </xdr:cNvPr>
        <xdr:cNvSpPr txBox="1"/>
      </xdr:nvSpPr>
      <xdr:spPr>
        <a:xfrm>
          <a:off x="12116547" y="2268070"/>
          <a:ext cx="7185212" cy="2988236"/>
        </a:xfrm>
        <a:prstGeom prst="rect">
          <a:avLst/>
        </a:prstGeom>
        <a:solidFill>
          <a:schemeClr val="lt1"/>
        </a:solidFill>
        <a:ln w="1905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LEGENDA</a:t>
          </a:r>
        </a:p>
        <a:p>
          <a:r>
            <a:rPr lang="pt-BR" sz="9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9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Faixa</a:t>
          </a:r>
          <a:r>
            <a:rPr lang="pt-BR" sz="10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=  Faixa de rolamento na via com detector eletrônico</a:t>
          </a:r>
          <a:endParaRPr lang="pt-BR" sz="10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Fluxo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Leitura dos Veículos em Trânsito pela Faixa 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Registros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Ocorrências (Infrações) Registradas na Faixa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Ilegíveis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possuem erro técnico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Legível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Total de imagens que não possuem erro técnico</a:t>
          </a:r>
          <a:endParaRPr lang="pt-BR" sz="10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>
              <a:solidFill>
                <a:schemeClr val="dk1"/>
              </a:solidFill>
              <a:latin typeface="+mn-lt"/>
              <a:ea typeface="+mn-ea"/>
              <a:cs typeface="+mn-cs"/>
            </a:rPr>
            <a:t>%Medido</a:t>
          </a:r>
          <a:r>
            <a:rPr lang="pt-BR" sz="1000" b="0" i="0">
              <a:solidFill>
                <a:schemeClr val="dk1"/>
              </a:solidFill>
              <a:latin typeface="+mn-lt"/>
              <a:ea typeface="+mn-ea"/>
              <a:cs typeface="+mn-cs"/>
            </a:rPr>
            <a:t> = Porcentagem de aproveitamento de imagens legíveis</a:t>
          </a:r>
          <a:endParaRPr lang="pt-BR" sz="1000"/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/>
            <a:t>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Válidas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Válidas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60503 - 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Avançar O Sinal Vermelho Do Semaforo, Exc Houver Sinaliz Perm Livre Conv A Direita - Fisc Eletronica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74630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20% Ate 50%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74710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Mais De 50%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74550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Em Velocidade Superior A Maxima Permitida Em Ate 20%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75870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Transitar Com O Veic Na Faixa Ou Via De Transito Exclusivo, Regulam Com Circul Destinada Aos Veiculos De Transporte Publico Coletivo De Passageiros  </a:t>
          </a:r>
        </a:p>
        <a:p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 </a:t>
          </a:r>
          <a:r>
            <a:rPr lang="pt-BR" sz="1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56732</a:t>
          </a:r>
          <a:r>
            <a:rPr lang="pt-BR" sz="1000" b="0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- Parar Sobre Faixa De Pedestres Na Mudanca De Sinal Luminoso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Inválidas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Ocorrências (Imagens) Legiveis Invalidadas na Análise</a:t>
          </a:r>
        </a:p>
        <a:p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* </a:t>
          </a:r>
          <a:r>
            <a:rPr lang="pt-BR" sz="1000"/>
            <a:t> </a:t>
          </a:r>
          <a:r>
            <a:rPr lang="pt-BR" sz="10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T.Erro</a:t>
          </a:r>
          <a:r>
            <a:rPr lang="pt-BR" sz="10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= Total de Erros (Ilegíveis + Inválidas)</a:t>
          </a:r>
          <a:r>
            <a:rPr lang="pt-BR" sz="100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422"/>
  <sheetViews>
    <sheetView showGridLines="0" tabSelected="1" zoomScale="90" zoomScaleNormal="90" workbookViewId="0">
      <pane ySplit="11" topLeftCell="A12" activePane="bottomLeft" state="frozen"/>
      <selection pane="bottomLeft" activeCell="A52" sqref="A52:XFD414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35" width="4.1640625" customWidth="1"/>
    <col min="36" max="36" width="5.83203125" customWidth="1"/>
    <col min="37" max="48" width="4.1640625" customWidth="1"/>
    <col min="49" max="49" width="5.5" customWidth="1"/>
    <col min="50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">
        <v>8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52" t="s">
        <v>63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">
        <v>61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">
        <v>64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Q3" s="13"/>
      <c r="AR3" s="13"/>
      <c r="AS3" s="13"/>
      <c r="AT3" s="13"/>
      <c r="AU3" s="13"/>
      <c r="AV3" s="13"/>
      <c r="AW3" s="13"/>
      <c r="AX3" s="9" t="s">
        <v>65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">
        <v>27</v>
      </c>
      <c r="V4" s="71"/>
      <c r="W4" s="71"/>
      <c r="X4" s="71"/>
      <c r="Y4" s="71"/>
      <c r="Z4" s="71"/>
      <c r="AA4" s="71"/>
      <c r="AB4" s="71"/>
      <c r="AD4" s="9" t="s">
        <v>79</v>
      </c>
      <c r="AE4" s="9"/>
      <c r="AF4" s="9"/>
      <c r="AG4" s="9"/>
      <c r="AH4" s="9"/>
      <c r="AR4" s="13"/>
      <c r="AS4" s="13"/>
      <c r="AT4" s="13"/>
      <c r="AU4" s="13"/>
      <c r="AV4" s="13"/>
      <c r="AW4" s="13"/>
      <c r="AX4" s="9" t="s">
        <v>28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">
        <v>29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1" t="s">
        <v>26</v>
      </c>
      <c r="V5" s="71"/>
      <c r="W5" s="71"/>
      <c r="X5" s="71"/>
      <c r="Y5" s="71"/>
      <c r="Z5" s="71"/>
      <c r="AA5" s="71"/>
      <c r="AB5" s="71"/>
      <c r="AD5" s="9" t="s">
        <v>80</v>
      </c>
      <c r="AE5" s="9"/>
      <c r="AF5" s="9"/>
      <c r="AG5" s="9"/>
      <c r="AH5" s="9"/>
      <c r="AR5" s="13"/>
      <c r="AS5" s="13"/>
      <c r="AT5" s="13"/>
      <c r="AU5" s="13"/>
      <c r="AV5" s="13"/>
      <c r="AW5" s="13"/>
      <c r="AX5" s="9" t="s">
        <v>66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">
        <v>30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1" t="s">
        <v>67</v>
      </c>
      <c r="V6" s="71"/>
      <c r="W6" s="71"/>
      <c r="X6" s="71"/>
      <c r="Y6" s="71"/>
      <c r="Z6" s="71"/>
      <c r="AA6" s="71"/>
      <c r="AB6" s="71"/>
      <c r="AD6" s="69" t="s">
        <v>68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R6" s="13"/>
      <c r="AS6" s="13"/>
      <c r="AT6" s="13"/>
      <c r="AU6" s="13"/>
      <c r="AV6" s="13"/>
      <c r="AW6" s="13"/>
      <c r="AX6" s="9" t="s">
        <v>69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">
        <v>62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">
        <v>70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16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/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 t="s">
        <v>391</v>
      </c>
      <c r="C12" s="39" t="s">
        <v>90</v>
      </c>
      <c r="D12" s="38">
        <f>VLOOKUP(C12,Planilha1!$J$2:$L$206,3,)</f>
        <v>1</v>
      </c>
      <c r="E12" s="39" t="s">
        <v>91</v>
      </c>
      <c r="F12" s="40">
        <v>93556</v>
      </c>
      <c r="G12" s="49">
        <v>19</v>
      </c>
      <c r="H12" s="60">
        <f t="shared" ref="H12:H37" si="0">I12+U12</f>
        <v>202</v>
      </c>
      <c r="I12" s="49">
        <f t="shared" ref="I12:I39" si="1">SUM(J12:T12)</f>
        <v>16</v>
      </c>
      <c r="J12" s="79"/>
      <c r="K12" s="79"/>
      <c r="L12" s="79">
        <v>2</v>
      </c>
      <c r="M12" s="79">
        <v>1</v>
      </c>
      <c r="N12" s="79"/>
      <c r="O12" s="79"/>
      <c r="P12" s="79"/>
      <c r="Q12" s="79"/>
      <c r="R12" s="79"/>
      <c r="S12" s="79">
        <v>13</v>
      </c>
      <c r="T12" s="79"/>
      <c r="U12" s="49">
        <f>X12+AE12</f>
        <v>186</v>
      </c>
      <c r="V12" s="29">
        <f t="shared" ref="V12:V39" si="2">IF(H12,U12/H12,0)</f>
        <v>0.92079207920792083</v>
      </c>
      <c r="W12" s="29">
        <f t="shared" ref="W12:W39" si="3">IF(H12,I12/H12,0)</f>
        <v>7.9207920792079209E-2</v>
      </c>
      <c r="X12" s="61">
        <f>SUM(Y12:AD12)</f>
        <v>133</v>
      </c>
      <c r="Y12" s="61"/>
      <c r="Z12" s="61"/>
      <c r="AA12" s="61">
        <v>107</v>
      </c>
      <c r="AB12" s="61">
        <v>23</v>
      </c>
      <c r="AC12" s="61">
        <v>3</v>
      </c>
      <c r="AD12" s="61"/>
      <c r="AE12" s="61">
        <f t="shared" ref="AE12:AE39" si="4">SUM(AF12:BD12)</f>
        <v>53</v>
      </c>
      <c r="AF12" s="79"/>
      <c r="AG12" s="79"/>
      <c r="AH12" s="79"/>
      <c r="AI12" s="79"/>
      <c r="AJ12" s="79"/>
      <c r="AK12" s="79"/>
      <c r="AL12" s="79">
        <v>1</v>
      </c>
      <c r="AM12" s="79">
        <v>6</v>
      </c>
      <c r="AN12" s="79"/>
      <c r="AO12" s="79"/>
      <c r="AP12" s="79"/>
      <c r="AQ12" s="79">
        <v>14</v>
      </c>
      <c r="AR12" s="79"/>
      <c r="AS12" s="79"/>
      <c r="AT12" s="79">
        <v>11</v>
      </c>
      <c r="AU12" s="79"/>
      <c r="AV12" s="79"/>
      <c r="AW12" s="79"/>
      <c r="AX12" s="79"/>
      <c r="AY12" s="79">
        <v>12</v>
      </c>
      <c r="AZ12" s="79"/>
      <c r="BA12" s="79">
        <v>5</v>
      </c>
      <c r="BB12" s="79"/>
      <c r="BC12" s="79">
        <v>4</v>
      </c>
      <c r="BD12" s="79"/>
      <c r="BE12" s="49">
        <f t="shared" ref="BE12:BE39" si="5">I12+AE12</f>
        <v>69</v>
      </c>
    </row>
    <row r="13" spans="1:63" ht="15" customHeight="1" x14ac:dyDescent="0.2">
      <c r="A13" s="36">
        <v>2</v>
      </c>
      <c r="B13" s="59" t="s">
        <v>391</v>
      </c>
      <c r="C13" s="39" t="s">
        <v>92</v>
      </c>
      <c r="D13" s="38">
        <f>VLOOKUP(C13,Planilha1!$J$2:$L$206,3,)</f>
        <v>1</v>
      </c>
      <c r="E13" s="39" t="s">
        <v>91</v>
      </c>
      <c r="F13" s="40">
        <v>108606</v>
      </c>
      <c r="G13" s="49">
        <v>19</v>
      </c>
      <c r="H13" s="60">
        <f t="shared" si="0"/>
        <v>167</v>
      </c>
      <c r="I13" s="49">
        <f t="shared" si="1"/>
        <v>20</v>
      </c>
      <c r="J13" s="79"/>
      <c r="K13" s="79"/>
      <c r="L13" s="79">
        <v>9</v>
      </c>
      <c r="M13" s="79"/>
      <c r="N13" s="79"/>
      <c r="O13" s="79"/>
      <c r="P13" s="79"/>
      <c r="Q13" s="79"/>
      <c r="R13" s="79"/>
      <c r="S13" s="79">
        <v>11</v>
      </c>
      <c r="T13" s="79"/>
      <c r="U13" s="49">
        <f>X13+AE13</f>
        <v>147</v>
      </c>
      <c r="V13" s="29">
        <f t="shared" si="2"/>
        <v>0.88023952095808389</v>
      </c>
      <c r="W13" s="29">
        <f t="shared" si="3"/>
        <v>0.11976047904191617</v>
      </c>
      <c r="X13" s="61">
        <f t="shared" ref="X13:X39" si="6">SUM(Y13:AD13)</f>
        <v>103</v>
      </c>
      <c r="Y13" s="61"/>
      <c r="Z13" s="61"/>
      <c r="AA13" s="61">
        <v>77</v>
      </c>
      <c r="AB13" s="61">
        <v>22</v>
      </c>
      <c r="AC13" s="61">
        <v>4</v>
      </c>
      <c r="AD13" s="61"/>
      <c r="AE13" s="49">
        <f t="shared" si="4"/>
        <v>44</v>
      </c>
      <c r="AF13" s="79"/>
      <c r="AG13" s="79"/>
      <c r="AH13" s="79"/>
      <c r="AI13" s="79"/>
      <c r="AJ13" s="79"/>
      <c r="AK13" s="79"/>
      <c r="AL13" s="79">
        <v>1</v>
      </c>
      <c r="AM13" s="79">
        <v>12</v>
      </c>
      <c r="AN13" s="79"/>
      <c r="AO13" s="79"/>
      <c r="AP13" s="79"/>
      <c r="AQ13" s="79">
        <v>5</v>
      </c>
      <c r="AR13" s="79"/>
      <c r="AS13" s="79"/>
      <c r="AT13" s="79">
        <v>13</v>
      </c>
      <c r="AU13" s="79"/>
      <c r="AV13" s="79"/>
      <c r="AW13" s="79"/>
      <c r="AX13" s="79"/>
      <c r="AY13" s="79">
        <v>6</v>
      </c>
      <c r="AZ13" s="79"/>
      <c r="BA13" s="79">
        <v>4</v>
      </c>
      <c r="BB13" s="79"/>
      <c r="BC13" s="79">
        <v>3</v>
      </c>
      <c r="BD13" s="79"/>
      <c r="BE13" s="49">
        <f t="shared" si="5"/>
        <v>64</v>
      </c>
    </row>
    <row r="14" spans="1:63" ht="15" customHeight="1" x14ac:dyDescent="0.2">
      <c r="A14" s="36">
        <v>3</v>
      </c>
      <c r="B14" s="59" t="s">
        <v>392</v>
      </c>
      <c r="C14" s="39" t="s">
        <v>93</v>
      </c>
      <c r="D14" s="38">
        <f>VLOOKUP(C14,Planilha1!$J$2:$L$206,3,)</f>
        <v>1</v>
      </c>
      <c r="E14" s="39" t="s">
        <v>94</v>
      </c>
      <c r="F14" s="40">
        <v>59738</v>
      </c>
      <c r="G14" s="49">
        <v>14</v>
      </c>
      <c r="H14" s="60">
        <f t="shared" si="0"/>
        <v>133</v>
      </c>
      <c r="I14" s="49">
        <f t="shared" si="1"/>
        <v>9</v>
      </c>
      <c r="J14" s="79"/>
      <c r="K14" s="79"/>
      <c r="L14" s="79"/>
      <c r="M14" s="79"/>
      <c r="N14" s="79"/>
      <c r="O14" s="79"/>
      <c r="P14" s="79"/>
      <c r="Q14" s="79">
        <v>1</v>
      </c>
      <c r="R14" s="79"/>
      <c r="S14" s="79">
        <v>8</v>
      </c>
      <c r="T14" s="79"/>
      <c r="U14" s="49">
        <f>X14+AE14</f>
        <v>124</v>
      </c>
      <c r="V14" s="29">
        <f t="shared" si="2"/>
        <v>0.93233082706766912</v>
      </c>
      <c r="W14" s="29">
        <f t="shared" si="3"/>
        <v>6.7669172932330823E-2</v>
      </c>
      <c r="X14" s="61">
        <f t="shared" si="6"/>
        <v>87</v>
      </c>
      <c r="Y14" s="61"/>
      <c r="Z14" s="61"/>
      <c r="AA14" s="61">
        <v>82</v>
      </c>
      <c r="AB14" s="61">
        <v>5</v>
      </c>
      <c r="AC14" s="61"/>
      <c r="AD14" s="61"/>
      <c r="AE14" s="61">
        <f t="shared" si="4"/>
        <v>37</v>
      </c>
      <c r="AF14" s="79"/>
      <c r="AG14" s="79"/>
      <c r="AH14" s="79"/>
      <c r="AI14" s="79"/>
      <c r="AJ14" s="79">
        <v>1</v>
      </c>
      <c r="AK14" s="79"/>
      <c r="AL14" s="79">
        <v>1</v>
      </c>
      <c r="AM14" s="79">
        <v>2</v>
      </c>
      <c r="AN14" s="79"/>
      <c r="AO14" s="79"/>
      <c r="AP14" s="79"/>
      <c r="AQ14" s="79">
        <v>10</v>
      </c>
      <c r="AR14" s="79"/>
      <c r="AS14" s="79"/>
      <c r="AT14" s="79">
        <v>3</v>
      </c>
      <c r="AU14" s="79"/>
      <c r="AV14" s="79"/>
      <c r="AW14" s="79"/>
      <c r="AX14" s="79"/>
      <c r="AY14" s="79">
        <v>8</v>
      </c>
      <c r="AZ14" s="79"/>
      <c r="BA14" s="79">
        <v>6</v>
      </c>
      <c r="BB14" s="79"/>
      <c r="BC14" s="79">
        <v>6</v>
      </c>
      <c r="BD14" s="79"/>
      <c r="BE14" s="49">
        <f t="shared" si="5"/>
        <v>46</v>
      </c>
    </row>
    <row r="15" spans="1:63" ht="15" customHeight="1" x14ac:dyDescent="0.2">
      <c r="A15" s="36">
        <v>4</v>
      </c>
      <c r="B15" s="59" t="s">
        <v>393</v>
      </c>
      <c r="C15" s="39" t="s">
        <v>95</v>
      </c>
      <c r="D15" s="38">
        <f>VLOOKUP(C15,Planilha1!$J$2:$L$206,3,)</f>
        <v>1</v>
      </c>
      <c r="E15" s="39" t="s">
        <v>94</v>
      </c>
      <c r="F15" s="40">
        <v>112111</v>
      </c>
      <c r="G15" s="49">
        <v>14</v>
      </c>
      <c r="H15" s="60">
        <f t="shared" si="0"/>
        <v>92</v>
      </c>
      <c r="I15" s="49">
        <f t="shared" si="1"/>
        <v>4</v>
      </c>
      <c r="J15" s="79"/>
      <c r="K15" s="79"/>
      <c r="L15" s="79">
        <v>1</v>
      </c>
      <c r="M15" s="79"/>
      <c r="N15" s="79"/>
      <c r="O15" s="79"/>
      <c r="P15" s="79"/>
      <c r="Q15" s="79"/>
      <c r="R15" s="79">
        <v>1</v>
      </c>
      <c r="S15" s="79">
        <v>2</v>
      </c>
      <c r="T15" s="79"/>
      <c r="U15" s="49">
        <f t="shared" ref="U15" si="7">X15+AE15</f>
        <v>88</v>
      </c>
      <c r="V15" s="29">
        <f t="shared" si="2"/>
        <v>0.95652173913043481</v>
      </c>
      <c r="W15" s="29">
        <f t="shared" si="3"/>
        <v>4.3478260869565216E-2</v>
      </c>
      <c r="X15" s="61">
        <f t="shared" si="6"/>
        <v>61</v>
      </c>
      <c r="Y15" s="61"/>
      <c r="Z15" s="61"/>
      <c r="AA15" s="61">
        <v>55</v>
      </c>
      <c r="AB15" s="61">
        <v>5</v>
      </c>
      <c r="AC15" s="61">
        <v>1</v>
      </c>
      <c r="AD15" s="61"/>
      <c r="AE15" s="49">
        <f t="shared" si="4"/>
        <v>27</v>
      </c>
      <c r="AF15" s="79"/>
      <c r="AG15" s="79"/>
      <c r="AH15" s="79"/>
      <c r="AI15" s="79"/>
      <c r="AJ15" s="79">
        <v>1</v>
      </c>
      <c r="AK15" s="79"/>
      <c r="AL15" s="79"/>
      <c r="AM15" s="79">
        <v>1</v>
      </c>
      <c r="AN15" s="79"/>
      <c r="AO15" s="79"/>
      <c r="AP15" s="79"/>
      <c r="AQ15" s="79">
        <v>12</v>
      </c>
      <c r="AR15" s="79"/>
      <c r="AS15" s="79"/>
      <c r="AT15" s="79"/>
      <c r="AU15" s="79"/>
      <c r="AV15" s="79"/>
      <c r="AW15" s="79"/>
      <c r="AX15" s="79"/>
      <c r="AY15" s="79">
        <v>6</v>
      </c>
      <c r="AZ15" s="79"/>
      <c r="BA15" s="79">
        <v>3</v>
      </c>
      <c r="BB15" s="79"/>
      <c r="BC15" s="79">
        <v>4</v>
      </c>
      <c r="BD15" s="79"/>
      <c r="BE15" s="49">
        <f t="shared" si="5"/>
        <v>31</v>
      </c>
    </row>
    <row r="16" spans="1:63" ht="15" customHeight="1" x14ac:dyDescent="0.2">
      <c r="A16" s="36">
        <v>5</v>
      </c>
      <c r="B16" s="59" t="s">
        <v>394</v>
      </c>
      <c r="C16" s="38" t="s">
        <v>96</v>
      </c>
      <c r="D16" s="38">
        <f>VLOOKUP(C16,Planilha1!$J$2:$L$206,3,)</f>
        <v>1</v>
      </c>
      <c r="E16" s="39" t="s">
        <v>97</v>
      </c>
      <c r="F16" s="40">
        <v>10708</v>
      </c>
      <c r="G16" s="49">
        <v>2</v>
      </c>
      <c r="H16" s="60">
        <f t="shared" si="0"/>
        <v>45</v>
      </c>
      <c r="I16" s="49">
        <f t="shared" si="1"/>
        <v>3</v>
      </c>
      <c r="J16" s="79"/>
      <c r="K16" s="79"/>
      <c r="L16" s="79"/>
      <c r="M16" s="79"/>
      <c r="N16" s="79"/>
      <c r="O16" s="79"/>
      <c r="P16" s="79">
        <v>3</v>
      </c>
      <c r="Q16" s="79"/>
      <c r="R16" s="79"/>
      <c r="S16" s="79"/>
      <c r="T16" s="79"/>
      <c r="U16" s="49">
        <f t="shared" ref="U16:U21" si="8">X16+AE16</f>
        <v>42</v>
      </c>
      <c r="V16" s="29">
        <f t="shared" si="2"/>
        <v>0.93333333333333335</v>
      </c>
      <c r="W16" s="29">
        <f t="shared" si="3"/>
        <v>6.6666666666666666E-2</v>
      </c>
      <c r="X16" s="61">
        <f t="shared" si="6"/>
        <v>11</v>
      </c>
      <c r="Y16" s="61"/>
      <c r="Z16" s="61"/>
      <c r="AA16" s="61">
        <v>9</v>
      </c>
      <c r="AB16" s="61">
        <v>2</v>
      </c>
      <c r="AC16" s="61"/>
      <c r="AD16" s="61"/>
      <c r="AE16" s="61">
        <f t="shared" si="4"/>
        <v>31</v>
      </c>
      <c r="AF16" s="79"/>
      <c r="AG16" s="79"/>
      <c r="AH16" s="79"/>
      <c r="AI16" s="79"/>
      <c r="AJ16" s="79">
        <v>17</v>
      </c>
      <c r="AK16" s="79"/>
      <c r="AL16" s="79"/>
      <c r="AM16" s="79"/>
      <c r="AN16" s="79"/>
      <c r="AO16" s="79"/>
      <c r="AP16" s="79"/>
      <c r="AQ16" s="79">
        <v>7</v>
      </c>
      <c r="AR16" s="79"/>
      <c r="AS16" s="79"/>
      <c r="AT16" s="79"/>
      <c r="AU16" s="79"/>
      <c r="AV16" s="79"/>
      <c r="AW16" s="79"/>
      <c r="AX16" s="79"/>
      <c r="AY16" s="79">
        <v>4</v>
      </c>
      <c r="AZ16" s="79"/>
      <c r="BA16" s="79">
        <v>3</v>
      </c>
      <c r="BB16" s="79"/>
      <c r="BC16" s="79"/>
      <c r="BD16" s="79"/>
      <c r="BE16" s="49">
        <f t="shared" si="5"/>
        <v>34</v>
      </c>
    </row>
    <row r="17" spans="1:57" ht="15" customHeight="1" x14ac:dyDescent="0.2">
      <c r="A17" s="36">
        <v>6</v>
      </c>
      <c r="B17" s="59" t="s">
        <v>394</v>
      </c>
      <c r="C17" s="38" t="s">
        <v>98</v>
      </c>
      <c r="D17" s="38">
        <f>VLOOKUP(C17,Planilha1!$J$2:$L$206,3,)</f>
        <v>1</v>
      </c>
      <c r="E17" s="39" t="s">
        <v>97</v>
      </c>
      <c r="F17" s="40">
        <v>13034</v>
      </c>
      <c r="G17" s="49">
        <v>2</v>
      </c>
      <c r="H17" s="60">
        <f t="shared" si="0"/>
        <v>32</v>
      </c>
      <c r="I17" s="49">
        <f t="shared" si="1"/>
        <v>1</v>
      </c>
      <c r="J17" s="79"/>
      <c r="K17" s="79"/>
      <c r="L17" s="79"/>
      <c r="M17" s="79"/>
      <c r="N17" s="79"/>
      <c r="O17" s="79"/>
      <c r="P17" s="79">
        <v>1</v>
      </c>
      <c r="Q17" s="79"/>
      <c r="R17" s="79"/>
      <c r="S17" s="79"/>
      <c r="T17" s="79"/>
      <c r="U17" s="49">
        <f t="shared" si="8"/>
        <v>31</v>
      </c>
      <c r="V17" s="29">
        <f t="shared" si="2"/>
        <v>0.96875</v>
      </c>
      <c r="W17" s="29">
        <f t="shared" si="3"/>
        <v>3.125E-2</v>
      </c>
      <c r="X17" s="61">
        <f t="shared" si="6"/>
        <v>8</v>
      </c>
      <c r="Y17" s="61"/>
      <c r="Z17" s="61"/>
      <c r="AA17" s="61">
        <v>8</v>
      </c>
      <c r="AB17" s="61"/>
      <c r="AC17" s="61"/>
      <c r="AD17" s="61"/>
      <c r="AE17" s="49">
        <f t="shared" si="4"/>
        <v>23</v>
      </c>
      <c r="AF17" s="79"/>
      <c r="AG17" s="79"/>
      <c r="AH17" s="79"/>
      <c r="AI17" s="79"/>
      <c r="AJ17" s="79">
        <v>18</v>
      </c>
      <c r="AK17" s="79"/>
      <c r="AL17" s="79"/>
      <c r="AM17" s="79"/>
      <c r="AN17" s="79"/>
      <c r="AO17" s="79"/>
      <c r="AP17" s="79"/>
      <c r="AQ17" s="79">
        <v>3</v>
      </c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>
        <v>1</v>
      </c>
      <c r="BD17" s="79">
        <v>1</v>
      </c>
      <c r="BE17" s="49">
        <f t="shared" si="5"/>
        <v>24</v>
      </c>
    </row>
    <row r="18" spans="1:57" ht="15" customHeight="1" x14ac:dyDescent="0.2">
      <c r="A18" s="36">
        <v>7</v>
      </c>
      <c r="B18" s="59" t="s">
        <v>395</v>
      </c>
      <c r="C18" s="38" t="s">
        <v>99</v>
      </c>
      <c r="D18" s="38">
        <f>VLOOKUP(C18,Planilha1!$J$2:$L$206,3,)</f>
        <v>1</v>
      </c>
      <c r="E18" s="39" t="s">
        <v>100</v>
      </c>
      <c r="F18" s="40">
        <v>14361</v>
      </c>
      <c r="G18" s="49">
        <v>2</v>
      </c>
      <c r="H18" s="60">
        <f t="shared" si="0"/>
        <v>11</v>
      </c>
      <c r="I18" s="49">
        <f t="shared" si="1"/>
        <v>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9">
        <f t="shared" si="8"/>
        <v>11</v>
      </c>
      <c r="V18" s="29">
        <f t="shared" si="2"/>
        <v>1</v>
      </c>
      <c r="W18" s="29">
        <f t="shared" si="3"/>
        <v>0</v>
      </c>
      <c r="X18" s="61">
        <f t="shared" si="6"/>
        <v>0</v>
      </c>
      <c r="Y18" s="61"/>
      <c r="Z18" s="61"/>
      <c r="AA18" s="61"/>
      <c r="AB18" s="61"/>
      <c r="AC18" s="61"/>
      <c r="AD18" s="61"/>
      <c r="AE18" s="61">
        <f t="shared" si="4"/>
        <v>11</v>
      </c>
      <c r="AF18" s="39"/>
      <c r="AG18" s="39"/>
      <c r="AH18" s="39"/>
      <c r="AI18" s="39"/>
      <c r="AJ18" s="39">
        <v>6</v>
      </c>
      <c r="AK18" s="39"/>
      <c r="AL18" s="39"/>
      <c r="AM18" s="39"/>
      <c r="AN18" s="39"/>
      <c r="AO18" s="39"/>
      <c r="AP18" s="39"/>
      <c r="AQ18" s="39">
        <v>3</v>
      </c>
      <c r="AR18" s="39"/>
      <c r="AS18" s="39">
        <v>1</v>
      </c>
      <c r="AT18" s="39"/>
      <c r="AU18" s="39"/>
      <c r="AV18" s="39"/>
      <c r="AW18" s="39"/>
      <c r="AX18" s="39"/>
      <c r="AY18" s="39">
        <v>1</v>
      </c>
      <c r="AZ18" s="39"/>
      <c r="BA18" s="39"/>
      <c r="BB18" s="39"/>
      <c r="BC18" s="39"/>
      <c r="BD18" s="39"/>
      <c r="BE18" s="49">
        <f t="shared" si="5"/>
        <v>11</v>
      </c>
    </row>
    <row r="19" spans="1:57" ht="15" customHeight="1" x14ac:dyDescent="0.2">
      <c r="A19" s="36">
        <v>8</v>
      </c>
      <c r="B19" s="59" t="s">
        <v>395</v>
      </c>
      <c r="C19" s="38" t="s">
        <v>101</v>
      </c>
      <c r="D19" s="38">
        <f>VLOOKUP(C19,Planilha1!$J$2:$L$206,3,)</f>
        <v>1</v>
      </c>
      <c r="E19" s="39" t="s">
        <v>100</v>
      </c>
      <c r="F19" s="40">
        <v>16044</v>
      </c>
      <c r="G19" s="49">
        <v>2</v>
      </c>
      <c r="H19" s="60">
        <f t="shared" si="0"/>
        <v>10</v>
      </c>
      <c r="I19" s="49">
        <f t="shared" si="1"/>
        <v>0</v>
      </c>
      <c r="J19" s="7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9">
        <f t="shared" si="8"/>
        <v>10</v>
      </c>
      <c r="V19" s="29">
        <f t="shared" si="2"/>
        <v>1</v>
      </c>
      <c r="W19" s="29">
        <f t="shared" si="3"/>
        <v>0</v>
      </c>
      <c r="X19" s="61">
        <f t="shared" si="6"/>
        <v>0</v>
      </c>
      <c r="Y19" s="61"/>
      <c r="Z19" s="61"/>
      <c r="AA19" s="61"/>
      <c r="AB19" s="61"/>
      <c r="AC19" s="61"/>
      <c r="AD19" s="61"/>
      <c r="AE19" s="49">
        <f t="shared" si="4"/>
        <v>10</v>
      </c>
      <c r="AF19" s="39"/>
      <c r="AG19" s="39"/>
      <c r="AH19" s="39"/>
      <c r="AI19" s="39"/>
      <c r="AJ19" s="39">
        <v>8</v>
      </c>
      <c r="AK19" s="39"/>
      <c r="AL19" s="39"/>
      <c r="AM19" s="39"/>
      <c r="AN19" s="39"/>
      <c r="AO19" s="39"/>
      <c r="AP19" s="39"/>
      <c r="AQ19" s="39"/>
      <c r="AR19" s="39"/>
      <c r="AS19" s="39"/>
      <c r="AT19" s="39">
        <v>2</v>
      </c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49">
        <f t="shared" si="5"/>
        <v>10</v>
      </c>
    </row>
    <row r="20" spans="1:57" ht="15" customHeight="1" x14ac:dyDescent="0.2">
      <c r="A20" s="36">
        <v>9</v>
      </c>
      <c r="B20" s="59" t="s">
        <v>396</v>
      </c>
      <c r="C20" s="38" t="s">
        <v>102</v>
      </c>
      <c r="D20" s="38">
        <f>VLOOKUP(C20,Planilha1!$J$2:$L$206,3,)</f>
        <v>1</v>
      </c>
      <c r="E20" s="39" t="s">
        <v>103</v>
      </c>
      <c r="F20" s="40">
        <v>3629</v>
      </c>
      <c r="G20" s="49">
        <v>1</v>
      </c>
      <c r="H20" s="60">
        <f t="shared" si="0"/>
        <v>131</v>
      </c>
      <c r="I20" s="49">
        <f t="shared" si="1"/>
        <v>3</v>
      </c>
      <c r="J20" s="79"/>
      <c r="K20" s="79"/>
      <c r="L20" s="79">
        <v>2</v>
      </c>
      <c r="M20" s="79"/>
      <c r="N20" s="79"/>
      <c r="O20" s="79"/>
      <c r="P20" s="79"/>
      <c r="Q20" s="79">
        <v>1</v>
      </c>
      <c r="R20" s="79"/>
      <c r="S20" s="79"/>
      <c r="T20" s="79"/>
      <c r="U20" s="49">
        <f t="shared" si="8"/>
        <v>128</v>
      </c>
      <c r="V20" s="29">
        <f t="shared" si="2"/>
        <v>0.97709923664122134</v>
      </c>
      <c r="W20" s="29">
        <f t="shared" si="3"/>
        <v>2.2900763358778626E-2</v>
      </c>
      <c r="X20" s="61">
        <f t="shared" si="6"/>
        <v>47</v>
      </c>
      <c r="Y20" s="61"/>
      <c r="Z20" s="61"/>
      <c r="AA20" s="61">
        <v>34</v>
      </c>
      <c r="AB20" s="61">
        <v>10</v>
      </c>
      <c r="AC20" s="61">
        <v>3</v>
      </c>
      <c r="AD20" s="61"/>
      <c r="AE20" s="61">
        <f t="shared" si="4"/>
        <v>81</v>
      </c>
      <c r="AF20" s="79"/>
      <c r="AG20" s="79"/>
      <c r="AH20" s="79">
        <v>18</v>
      </c>
      <c r="AI20" s="79"/>
      <c r="AJ20" s="79">
        <v>58</v>
      </c>
      <c r="AK20" s="79"/>
      <c r="AL20" s="79"/>
      <c r="AM20" s="79">
        <v>1</v>
      </c>
      <c r="AN20" s="79"/>
      <c r="AO20" s="79"/>
      <c r="AP20" s="79"/>
      <c r="AQ20" s="79"/>
      <c r="AR20" s="79"/>
      <c r="AS20" s="79">
        <v>1</v>
      </c>
      <c r="AT20" s="79"/>
      <c r="AU20" s="79"/>
      <c r="AV20" s="79"/>
      <c r="AW20" s="79">
        <v>1</v>
      </c>
      <c r="AX20" s="79"/>
      <c r="AY20" s="79">
        <v>1</v>
      </c>
      <c r="AZ20" s="79"/>
      <c r="BA20" s="79">
        <v>1</v>
      </c>
      <c r="BB20" s="79"/>
      <c r="BC20" s="79"/>
      <c r="BD20" s="79"/>
      <c r="BE20" s="49">
        <f t="shared" si="5"/>
        <v>84</v>
      </c>
    </row>
    <row r="21" spans="1:57" ht="15" customHeight="1" x14ac:dyDescent="0.2">
      <c r="A21" s="36">
        <v>10</v>
      </c>
      <c r="B21" s="59" t="s">
        <v>396</v>
      </c>
      <c r="C21" s="38" t="s">
        <v>104</v>
      </c>
      <c r="D21" s="38">
        <f>VLOOKUP(C21,Planilha1!$J$2:$L$206,3,)</f>
        <v>1</v>
      </c>
      <c r="E21" s="39" t="s">
        <v>103</v>
      </c>
      <c r="F21" s="40">
        <v>3771</v>
      </c>
      <c r="G21" s="49">
        <v>1</v>
      </c>
      <c r="H21" s="60">
        <f t="shared" si="0"/>
        <v>137</v>
      </c>
      <c r="I21" s="49">
        <f t="shared" si="1"/>
        <v>3</v>
      </c>
      <c r="J21" s="79"/>
      <c r="K21" s="79"/>
      <c r="L21" s="79">
        <v>1</v>
      </c>
      <c r="M21" s="79">
        <v>2</v>
      </c>
      <c r="N21" s="79"/>
      <c r="O21" s="79"/>
      <c r="P21" s="79"/>
      <c r="Q21" s="79"/>
      <c r="R21" s="79"/>
      <c r="S21" s="79"/>
      <c r="T21" s="79"/>
      <c r="U21" s="49">
        <f t="shared" si="8"/>
        <v>134</v>
      </c>
      <c r="V21" s="29">
        <f t="shared" si="2"/>
        <v>0.97810218978102192</v>
      </c>
      <c r="W21" s="29">
        <f t="shared" si="3"/>
        <v>2.1897810218978103E-2</v>
      </c>
      <c r="X21" s="61">
        <f t="shared" si="6"/>
        <v>56</v>
      </c>
      <c r="Y21" s="61"/>
      <c r="Z21" s="61"/>
      <c r="AA21" s="61">
        <v>41</v>
      </c>
      <c r="AB21" s="61">
        <v>14</v>
      </c>
      <c r="AC21" s="61">
        <v>1</v>
      </c>
      <c r="AD21" s="61"/>
      <c r="AE21" s="49">
        <f t="shared" si="4"/>
        <v>78</v>
      </c>
      <c r="AF21" s="79"/>
      <c r="AG21" s="79"/>
      <c r="AH21" s="79">
        <v>8</v>
      </c>
      <c r="AI21" s="79"/>
      <c r="AJ21" s="79">
        <v>59</v>
      </c>
      <c r="AK21" s="79"/>
      <c r="AL21" s="79"/>
      <c r="AM21" s="79"/>
      <c r="AN21" s="79"/>
      <c r="AO21" s="79"/>
      <c r="AP21" s="79"/>
      <c r="AQ21" s="79"/>
      <c r="AR21" s="79"/>
      <c r="AS21" s="79"/>
      <c r="AT21" s="79">
        <v>1</v>
      </c>
      <c r="AU21" s="79"/>
      <c r="AV21" s="79"/>
      <c r="AW21" s="79"/>
      <c r="AX21" s="79"/>
      <c r="AY21" s="79">
        <v>2</v>
      </c>
      <c r="AZ21" s="79">
        <v>6</v>
      </c>
      <c r="BA21" s="79">
        <v>1</v>
      </c>
      <c r="BB21" s="79"/>
      <c r="BC21" s="79">
        <v>1</v>
      </c>
      <c r="BD21" s="79"/>
      <c r="BE21" s="49">
        <f t="shared" si="5"/>
        <v>81</v>
      </c>
    </row>
    <row r="22" spans="1:57" ht="15" customHeight="1" x14ac:dyDescent="0.2">
      <c r="A22" s="36">
        <v>11</v>
      </c>
      <c r="B22" s="59" t="s">
        <v>397</v>
      </c>
      <c r="C22" s="38" t="s">
        <v>105</v>
      </c>
      <c r="D22" s="38">
        <f>VLOOKUP(C22,Planilha1!$J$2:$L$206,3,)</f>
        <v>1</v>
      </c>
      <c r="E22" s="39" t="s">
        <v>106</v>
      </c>
      <c r="F22" s="40">
        <v>3920</v>
      </c>
      <c r="G22" s="49">
        <v>1</v>
      </c>
      <c r="H22" s="60">
        <f t="shared" si="0"/>
        <v>691</v>
      </c>
      <c r="I22" s="49">
        <f t="shared" si="1"/>
        <v>4</v>
      </c>
      <c r="J22" s="79"/>
      <c r="K22" s="79"/>
      <c r="L22" s="79"/>
      <c r="M22" s="79">
        <v>1</v>
      </c>
      <c r="N22" s="79"/>
      <c r="O22" s="79"/>
      <c r="P22" s="79">
        <v>2</v>
      </c>
      <c r="Q22" s="79"/>
      <c r="R22" s="79"/>
      <c r="S22" s="79">
        <v>1</v>
      </c>
      <c r="T22" s="79"/>
      <c r="U22" s="49">
        <f>X22+AE22</f>
        <v>687</v>
      </c>
      <c r="V22" s="29">
        <f t="shared" si="2"/>
        <v>0.99421128798842262</v>
      </c>
      <c r="W22" s="29">
        <f t="shared" si="3"/>
        <v>5.7887120115774236E-3</v>
      </c>
      <c r="X22" s="61">
        <f t="shared" si="6"/>
        <v>1</v>
      </c>
      <c r="Y22" s="61"/>
      <c r="Z22" s="61"/>
      <c r="AA22" s="61">
        <v>1</v>
      </c>
      <c r="AB22" s="61"/>
      <c r="AC22" s="61"/>
      <c r="AD22" s="61"/>
      <c r="AE22" s="61">
        <f t="shared" si="4"/>
        <v>686</v>
      </c>
      <c r="AF22" s="79"/>
      <c r="AG22" s="79"/>
      <c r="AH22" s="79"/>
      <c r="AI22" s="79"/>
      <c r="AJ22" s="79">
        <v>684</v>
      </c>
      <c r="AK22" s="79"/>
      <c r="AL22" s="79"/>
      <c r="AM22" s="79"/>
      <c r="AN22" s="79"/>
      <c r="AO22" s="79"/>
      <c r="AP22" s="79"/>
      <c r="AQ22" s="79"/>
      <c r="AR22" s="79"/>
      <c r="AS22" s="79"/>
      <c r="AT22" s="79">
        <v>1</v>
      </c>
      <c r="AU22" s="79"/>
      <c r="AV22" s="79"/>
      <c r="AW22" s="79"/>
      <c r="AX22" s="79"/>
      <c r="AY22" s="79">
        <v>1</v>
      </c>
      <c r="AZ22" s="79"/>
      <c r="BA22" s="79"/>
      <c r="BB22" s="79"/>
      <c r="BC22" s="79"/>
      <c r="BD22" s="79"/>
      <c r="BE22" s="49">
        <f t="shared" si="5"/>
        <v>690</v>
      </c>
    </row>
    <row r="23" spans="1:57" ht="15" customHeight="1" x14ac:dyDescent="0.2">
      <c r="A23" s="36">
        <v>12</v>
      </c>
      <c r="B23" s="59" t="s">
        <v>397</v>
      </c>
      <c r="C23" s="38" t="s">
        <v>107</v>
      </c>
      <c r="D23" s="38">
        <f>VLOOKUP(C23,Planilha1!$J$2:$L$206,3,)</f>
        <v>1</v>
      </c>
      <c r="E23" s="39" t="s">
        <v>106</v>
      </c>
      <c r="F23" s="40">
        <v>4049</v>
      </c>
      <c r="G23" s="49">
        <v>1</v>
      </c>
      <c r="H23" s="60">
        <f t="shared" si="0"/>
        <v>596</v>
      </c>
      <c r="I23" s="49">
        <f t="shared" si="1"/>
        <v>3</v>
      </c>
      <c r="J23" s="79"/>
      <c r="K23" s="79"/>
      <c r="L23" s="79"/>
      <c r="M23" s="79"/>
      <c r="N23" s="79"/>
      <c r="O23" s="79"/>
      <c r="P23" s="79">
        <v>1</v>
      </c>
      <c r="Q23" s="79"/>
      <c r="R23" s="79"/>
      <c r="S23" s="79"/>
      <c r="T23" s="79">
        <v>2</v>
      </c>
      <c r="U23" s="49">
        <f>X23+AE23</f>
        <v>593</v>
      </c>
      <c r="V23" s="29">
        <f t="shared" si="2"/>
        <v>0.99496644295302017</v>
      </c>
      <c r="W23" s="29">
        <f t="shared" si="3"/>
        <v>5.0335570469798654E-3</v>
      </c>
      <c r="X23" s="61">
        <f t="shared" si="6"/>
        <v>3</v>
      </c>
      <c r="Y23" s="61"/>
      <c r="Z23" s="61"/>
      <c r="AA23" s="61">
        <v>3</v>
      </c>
      <c r="AB23" s="61"/>
      <c r="AC23" s="61"/>
      <c r="AD23" s="61"/>
      <c r="AE23" s="49">
        <f t="shared" si="4"/>
        <v>590</v>
      </c>
      <c r="AF23" s="79"/>
      <c r="AG23" s="79"/>
      <c r="AH23" s="79"/>
      <c r="AI23" s="79"/>
      <c r="AJ23" s="79">
        <v>583</v>
      </c>
      <c r="AK23" s="79"/>
      <c r="AL23" s="79"/>
      <c r="AM23" s="79">
        <v>3</v>
      </c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>
        <v>3</v>
      </c>
      <c r="AZ23" s="79"/>
      <c r="BA23" s="79"/>
      <c r="BB23" s="79"/>
      <c r="BC23" s="79">
        <v>1</v>
      </c>
      <c r="BD23" s="79"/>
      <c r="BE23" s="49">
        <f t="shared" si="5"/>
        <v>593</v>
      </c>
    </row>
    <row r="24" spans="1:57" ht="15" customHeight="1" x14ac:dyDescent="0.2">
      <c r="A24" s="36">
        <v>13</v>
      </c>
      <c r="B24" s="59" t="s">
        <v>398</v>
      </c>
      <c r="C24" s="38" t="s">
        <v>111</v>
      </c>
      <c r="D24" s="38">
        <f>VLOOKUP(C24,Planilha1!$J$2:$L$206,3,)</f>
        <v>1</v>
      </c>
      <c r="E24" s="39" t="s">
        <v>112</v>
      </c>
      <c r="F24" s="40">
        <v>2000</v>
      </c>
      <c r="G24" s="49">
        <v>1</v>
      </c>
      <c r="H24" s="60">
        <f t="shared" si="0"/>
        <v>16</v>
      </c>
      <c r="I24" s="49">
        <f t="shared" si="1"/>
        <v>0</v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49">
        <f>X24+AE24</f>
        <v>16</v>
      </c>
      <c r="V24" s="29">
        <f t="shared" si="2"/>
        <v>1</v>
      </c>
      <c r="W24" s="29">
        <f t="shared" si="3"/>
        <v>0</v>
      </c>
      <c r="X24" s="61">
        <f t="shared" si="6"/>
        <v>0</v>
      </c>
      <c r="Y24" s="61"/>
      <c r="Z24" s="61"/>
      <c r="AA24" s="61"/>
      <c r="AB24" s="61"/>
      <c r="AC24" s="61"/>
      <c r="AD24" s="61"/>
      <c r="AE24" s="61">
        <f t="shared" si="4"/>
        <v>16</v>
      </c>
      <c r="AF24" s="79"/>
      <c r="AG24" s="79"/>
      <c r="AH24" s="79"/>
      <c r="AI24" s="79"/>
      <c r="AJ24" s="79">
        <v>12</v>
      </c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>
        <v>4</v>
      </c>
      <c r="AX24" s="79"/>
      <c r="AY24" s="79"/>
      <c r="AZ24" s="79"/>
      <c r="BA24" s="79"/>
      <c r="BB24" s="79"/>
      <c r="BC24" s="79"/>
      <c r="BD24" s="79"/>
      <c r="BE24" s="49">
        <f t="shared" si="5"/>
        <v>16</v>
      </c>
    </row>
    <row r="25" spans="1:57" ht="15" customHeight="1" x14ac:dyDescent="0.2">
      <c r="A25" s="36">
        <v>14</v>
      </c>
      <c r="B25" s="59" t="s">
        <v>398</v>
      </c>
      <c r="C25" s="38" t="s">
        <v>113</v>
      </c>
      <c r="D25" s="38">
        <f>VLOOKUP(C25,Planilha1!$J$2:$L$206,3,)</f>
        <v>1</v>
      </c>
      <c r="E25" s="39" t="s">
        <v>112</v>
      </c>
      <c r="F25" s="40">
        <v>4660</v>
      </c>
      <c r="G25" s="49">
        <v>1</v>
      </c>
      <c r="H25" s="60">
        <f t="shared" si="0"/>
        <v>33</v>
      </c>
      <c r="I25" s="49">
        <f t="shared" si="1"/>
        <v>2</v>
      </c>
      <c r="J25" s="79"/>
      <c r="K25" s="79"/>
      <c r="L25" s="79"/>
      <c r="M25" s="79"/>
      <c r="N25" s="79"/>
      <c r="O25" s="79"/>
      <c r="P25" s="79">
        <v>1</v>
      </c>
      <c r="Q25" s="79"/>
      <c r="R25" s="79"/>
      <c r="S25" s="79"/>
      <c r="T25" s="79">
        <v>1</v>
      </c>
      <c r="U25" s="49">
        <f>X25+AE25</f>
        <v>31</v>
      </c>
      <c r="V25" s="29">
        <f t="shared" si="2"/>
        <v>0.93939393939393945</v>
      </c>
      <c r="W25" s="29">
        <f t="shared" si="3"/>
        <v>6.0606060606060608E-2</v>
      </c>
      <c r="X25" s="61">
        <f t="shared" si="6"/>
        <v>0</v>
      </c>
      <c r="Y25" s="61"/>
      <c r="Z25" s="61"/>
      <c r="AA25" s="61"/>
      <c r="AB25" s="61"/>
      <c r="AC25" s="61"/>
      <c r="AD25" s="61"/>
      <c r="AE25" s="49">
        <f t="shared" si="4"/>
        <v>31</v>
      </c>
      <c r="AF25" s="79"/>
      <c r="AG25" s="79"/>
      <c r="AH25" s="79"/>
      <c r="AI25" s="79"/>
      <c r="AJ25" s="79">
        <v>15</v>
      </c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>
        <v>16</v>
      </c>
      <c r="AX25" s="79"/>
      <c r="AY25" s="79"/>
      <c r="AZ25" s="79"/>
      <c r="BA25" s="79"/>
      <c r="BB25" s="79"/>
      <c r="BC25" s="79"/>
      <c r="BD25" s="79"/>
      <c r="BE25" s="49">
        <f t="shared" si="5"/>
        <v>33</v>
      </c>
    </row>
    <row r="26" spans="1:57" ht="15" customHeight="1" x14ac:dyDescent="0.2">
      <c r="A26" s="36">
        <v>15</v>
      </c>
      <c r="B26" s="59" t="s">
        <v>399</v>
      </c>
      <c r="C26" s="38" t="s">
        <v>114</v>
      </c>
      <c r="D26" s="38">
        <f>VLOOKUP(C26,Planilha1!$J$2:$L$206,3,)</f>
        <v>1</v>
      </c>
      <c r="E26" s="39" t="s">
        <v>115</v>
      </c>
      <c r="F26" s="40">
        <v>1100</v>
      </c>
      <c r="G26" s="49">
        <v>1</v>
      </c>
      <c r="H26" s="60">
        <f t="shared" si="0"/>
        <v>26</v>
      </c>
      <c r="I26" s="49">
        <f t="shared" si="1"/>
        <v>0</v>
      </c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49">
        <f t="shared" ref="U26:U39" si="9">X26+AE26</f>
        <v>26</v>
      </c>
      <c r="V26" s="29">
        <f t="shared" si="2"/>
        <v>1</v>
      </c>
      <c r="W26" s="29">
        <f t="shared" si="3"/>
        <v>0</v>
      </c>
      <c r="X26" s="61">
        <f t="shared" si="6"/>
        <v>0</v>
      </c>
      <c r="Y26" s="61"/>
      <c r="Z26" s="61"/>
      <c r="AA26" s="61"/>
      <c r="AB26" s="61"/>
      <c r="AC26" s="61"/>
      <c r="AD26" s="61"/>
      <c r="AE26" s="49">
        <f t="shared" si="4"/>
        <v>26</v>
      </c>
      <c r="AF26" s="79"/>
      <c r="AG26" s="79"/>
      <c r="AH26" s="79"/>
      <c r="AI26" s="79"/>
      <c r="AJ26" s="79">
        <v>1</v>
      </c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>
        <v>25</v>
      </c>
      <c r="AX26" s="79"/>
      <c r="AY26" s="79"/>
      <c r="AZ26" s="79"/>
      <c r="BA26" s="79"/>
      <c r="BB26" s="79"/>
      <c r="BC26" s="79"/>
      <c r="BD26" s="79"/>
      <c r="BE26" s="49">
        <f t="shared" si="5"/>
        <v>26</v>
      </c>
    </row>
    <row r="27" spans="1:57" ht="15" customHeight="1" x14ac:dyDescent="0.2">
      <c r="A27" s="36">
        <v>16</v>
      </c>
      <c r="B27" s="59" t="s">
        <v>399</v>
      </c>
      <c r="C27" s="38" t="s">
        <v>116</v>
      </c>
      <c r="D27" s="38">
        <f>VLOOKUP(C27,Planilha1!$J$2:$L$206,3,)</f>
        <v>1</v>
      </c>
      <c r="E27" s="39" t="s">
        <v>115</v>
      </c>
      <c r="F27" s="40">
        <v>2916</v>
      </c>
      <c r="G27" s="49">
        <v>1</v>
      </c>
      <c r="H27" s="60">
        <f t="shared" si="0"/>
        <v>18</v>
      </c>
      <c r="I27" s="49">
        <f t="shared" si="1"/>
        <v>0</v>
      </c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49">
        <f>X27+AE27</f>
        <v>18</v>
      </c>
      <c r="V27" s="29">
        <f t="shared" si="2"/>
        <v>1</v>
      </c>
      <c r="W27" s="29">
        <f t="shared" si="3"/>
        <v>0</v>
      </c>
      <c r="X27" s="61">
        <f t="shared" si="6"/>
        <v>0</v>
      </c>
      <c r="Y27" s="61"/>
      <c r="Z27" s="61"/>
      <c r="AA27" s="61"/>
      <c r="AB27" s="61"/>
      <c r="AC27" s="61"/>
      <c r="AD27" s="61"/>
      <c r="AE27" s="49">
        <f t="shared" si="4"/>
        <v>18</v>
      </c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>
        <v>18</v>
      </c>
      <c r="AX27" s="79"/>
      <c r="AY27" s="79"/>
      <c r="AZ27" s="79"/>
      <c r="BA27" s="79"/>
      <c r="BB27" s="79"/>
      <c r="BC27" s="79"/>
      <c r="BD27" s="79"/>
      <c r="BE27" s="49">
        <f t="shared" si="5"/>
        <v>18</v>
      </c>
    </row>
    <row r="28" spans="1:57" ht="15" customHeight="1" x14ac:dyDescent="0.2">
      <c r="A28" s="36">
        <v>17</v>
      </c>
      <c r="B28" s="59" t="s">
        <v>400</v>
      </c>
      <c r="C28" s="38" t="s">
        <v>124</v>
      </c>
      <c r="D28" s="38">
        <f>VLOOKUP(C28,Planilha1!$J$2:$L$206,3,)</f>
        <v>1</v>
      </c>
      <c r="E28" s="39" t="s">
        <v>125</v>
      </c>
      <c r="F28" s="40">
        <v>8797</v>
      </c>
      <c r="G28" s="49">
        <v>2</v>
      </c>
      <c r="H28" s="60">
        <f t="shared" si="0"/>
        <v>400</v>
      </c>
      <c r="I28" s="49">
        <f t="shared" si="1"/>
        <v>0</v>
      </c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49">
        <f t="shared" si="9"/>
        <v>400</v>
      </c>
      <c r="V28" s="29">
        <f t="shared" si="2"/>
        <v>1</v>
      </c>
      <c r="W28" s="29">
        <f t="shared" si="3"/>
        <v>0</v>
      </c>
      <c r="X28" s="61">
        <f t="shared" si="6"/>
        <v>0</v>
      </c>
      <c r="Y28" s="61"/>
      <c r="Z28" s="61"/>
      <c r="AA28" s="61"/>
      <c r="AB28" s="61"/>
      <c r="AC28" s="61"/>
      <c r="AD28" s="61"/>
      <c r="AE28" s="49">
        <f t="shared" si="4"/>
        <v>400</v>
      </c>
      <c r="AF28" s="39"/>
      <c r="AG28" s="39"/>
      <c r="AH28" s="39">
        <v>2</v>
      </c>
      <c r="AI28" s="39"/>
      <c r="AJ28" s="39"/>
      <c r="AK28" s="39"/>
      <c r="AL28" s="39"/>
      <c r="AM28" s="39"/>
      <c r="AN28" s="39"/>
      <c r="AO28" s="39"/>
      <c r="AP28" s="39"/>
      <c r="AQ28" s="39">
        <v>1</v>
      </c>
      <c r="AR28" s="39"/>
      <c r="AS28" s="39"/>
      <c r="AT28" s="39"/>
      <c r="AU28" s="39"/>
      <c r="AV28" s="39"/>
      <c r="AW28" s="39">
        <v>391</v>
      </c>
      <c r="AX28" s="39"/>
      <c r="AY28" s="39">
        <v>5</v>
      </c>
      <c r="AZ28" s="39"/>
      <c r="BA28" s="39"/>
      <c r="BB28" s="39"/>
      <c r="BC28" s="39">
        <v>1</v>
      </c>
      <c r="BD28" s="39"/>
      <c r="BE28" s="49">
        <f t="shared" si="5"/>
        <v>400</v>
      </c>
    </row>
    <row r="29" spans="1:57" ht="15" customHeight="1" x14ac:dyDescent="0.2">
      <c r="A29" s="36">
        <v>18</v>
      </c>
      <c r="B29" s="59" t="s">
        <v>400</v>
      </c>
      <c r="C29" s="38" t="s">
        <v>126</v>
      </c>
      <c r="D29" s="38">
        <f>VLOOKUP(C29,Planilha1!$J$2:$L$206,3,)</f>
        <v>1</v>
      </c>
      <c r="E29" s="39" t="s">
        <v>125</v>
      </c>
      <c r="F29" s="40">
        <v>11263</v>
      </c>
      <c r="G29" s="49">
        <v>2</v>
      </c>
      <c r="H29" s="60">
        <f t="shared" si="0"/>
        <v>253</v>
      </c>
      <c r="I29" s="49">
        <f t="shared" si="1"/>
        <v>1</v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>
        <v>1</v>
      </c>
      <c r="U29" s="49">
        <f t="shared" si="9"/>
        <v>252</v>
      </c>
      <c r="V29" s="29">
        <f t="shared" si="2"/>
        <v>0.99604743083003955</v>
      </c>
      <c r="W29" s="29">
        <f t="shared" si="3"/>
        <v>3.952569169960474E-3</v>
      </c>
      <c r="X29" s="61">
        <f t="shared" si="6"/>
        <v>0</v>
      </c>
      <c r="Y29" s="61"/>
      <c r="Z29" s="61"/>
      <c r="AA29" s="61"/>
      <c r="AB29" s="61"/>
      <c r="AC29" s="61"/>
      <c r="AD29" s="61"/>
      <c r="AE29" s="49">
        <f t="shared" si="4"/>
        <v>252</v>
      </c>
      <c r="AF29" s="39"/>
      <c r="AG29" s="39"/>
      <c r="AH29" s="39">
        <v>1</v>
      </c>
      <c r="AI29" s="39"/>
      <c r="AJ29" s="39"/>
      <c r="AK29" s="39"/>
      <c r="AL29" s="39"/>
      <c r="AM29" s="39"/>
      <c r="AN29" s="39"/>
      <c r="AO29" s="39"/>
      <c r="AP29" s="39"/>
      <c r="AQ29" s="39">
        <v>5</v>
      </c>
      <c r="AR29" s="39"/>
      <c r="AS29" s="39"/>
      <c r="AT29" s="39"/>
      <c r="AU29" s="39"/>
      <c r="AV29" s="39"/>
      <c r="AW29" s="39">
        <v>242</v>
      </c>
      <c r="AX29" s="39"/>
      <c r="AY29" s="39">
        <v>4</v>
      </c>
      <c r="AZ29" s="39"/>
      <c r="BA29" s="39"/>
      <c r="BB29" s="39"/>
      <c r="BC29" s="39"/>
      <c r="BD29" s="39"/>
      <c r="BE29" s="49">
        <f t="shared" si="5"/>
        <v>253</v>
      </c>
    </row>
    <row r="30" spans="1:57" ht="15" customHeight="1" x14ac:dyDescent="0.2">
      <c r="A30" s="36">
        <v>19</v>
      </c>
      <c r="B30" s="59" t="s">
        <v>401</v>
      </c>
      <c r="C30" s="38" t="s">
        <v>127</v>
      </c>
      <c r="D30" s="38">
        <f>VLOOKUP(C30,Planilha1!$J$2:$L$206,3,)</f>
        <v>1</v>
      </c>
      <c r="E30" s="39" t="s">
        <v>128</v>
      </c>
      <c r="F30" s="40">
        <v>12194</v>
      </c>
      <c r="G30" s="49">
        <v>2</v>
      </c>
      <c r="H30" s="60">
        <f t="shared" si="0"/>
        <v>1063</v>
      </c>
      <c r="I30" s="49">
        <f t="shared" si="1"/>
        <v>10</v>
      </c>
      <c r="J30" s="79"/>
      <c r="K30" s="79"/>
      <c r="L30" s="79">
        <v>1</v>
      </c>
      <c r="M30" s="79"/>
      <c r="N30" s="79"/>
      <c r="O30" s="79"/>
      <c r="P30" s="79">
        <v>2</v>
      </c>
      <c r="Q30" s="79"/>
      <c r="R30" s="79"/>
      <c r="S30" s="79"/>
      <c r="T30" s="79">
        <v>7</v>
      </c>
      <c r="U30" s="49">
        <f t="shared" si="9"/>
        <v>1053</v>
      </c>
      <c r="V30" s="29">
        <f t="shared" si="2"/>
        <v>0.99059266227657572</v>
      </c>
      <c r="W30" s="29">
        <f t="shared" si="3"/>
        <v>9.4073377234242701E-3</v>
      </c>
      <c r="X30" s="61">
        <f t="shared" si="6"/>
        <v>0</v>
      </c>
      <c r="Y30" s="61"/>
      <c r="Z30" s="61"/>
      <c r="AA30" s="61"/>
      <c r="AB30" s="61"/>
      <c r="AC30" s="61"/>
      <c r="AD30" s="61"/>
      <c r="AE30" s="49">
        <f t="shared" si="4"/>
        <v>1053</v>
      </c>
      <c r="AF30" s="39"/>
      <c r="AG30" s="39"/>
      <c r="AH30" s="39">
        <v>1</v>
      </c>
      <c r="AI30" s="39"/>
      <c r="AJ30" s="39">
        <v>621</v>
      </c>
      <c r="AK30" s="39"/>
      <c r="AL30" s="39"/>
      <c r="AM30" s="39">
        <v>1</v>
      </c>
      <c r="AN30" s="39"/>
      <c r="AO30" s="39">
        <v>1</v>
      </c>
      <c r="AP30" s="39"/>
      <c r="AQ30" s="39">
        <v>5</v>
      </c>
      <c r="AR30" s="39"/>
      <c r="AS30" s="39">
        <v>1</v>
      </c>
      <c r="AT30" s="39">
        <v>2</v>
      </c>
      <c r="AU30" s="39"/>
      <c r="AV30" s="39"/>
      <c r="AW30" s="39">
        <v>383</v>
      </c>
      <c r="AX30" s="39"/>
      <c r="AY30" s="39">
        <v>2</v>
      </c>
      <c r="AZ30" s="39">
        <v>35</v>
      </c>
      <c r="BA30" s="39"/>
      <c r="BB30" s="39"/>
      <c r="BC30" s="39">
        <v>1</v>
      </c>
      <c r="BD30" s="39"/>
      <c r="BE30" s="49">
        <f t="shared" si="5"/>
        <v>1063</v>
      </c>
    </row>
    <row r="31" spans="1:57" ht="15" customHeight="1" x14ac:dyDescent="0.2">
      <c r="A31" s="36">
        <v>20</v>
      </c>
      <c r="B31" s="59" t="s">
        <v>401</v>
      </c>
      <c r="C31" s="38" t="s">
        <v>129</v>
      </c>
      <c r="D31" s="38">
        <f>VLOOKUP(C31,Planilha1!$J$2:$L$206,3,)</f>
        <v>1</v>
      </c>
      <c r="E31" s="39" t="s">
        <v>128</v>
      </c>
      <c r="F31" s="40">
        <v>13468</v>
      </c>
      <c r="G31" s="49">
        <v>2</v>
      </c>
      <c r="H31" s="60">
        <f t="shared" si="0"/>
        <v>531</v>
      </c>
      <c r="I31" s="49">
        <f t="shared" si="1"/>
        <v>3</v>
      </c>
      <c r="J31" s="79"/>
      <c r="K31" s="79"/>
      <c r="L31" s="79"/>
      <c r="M31" s="79">
        <v>1</v>
      </c>
      <c r="N31" s="79"/>
      <c r="O31" s="79"/>
      <c r="P31" s="79">
        <v>2</v>
      </c>
      <c r="Q31" s="79"/>
      <c r="R31" s="79"/>
      <c r="S31" s="79"/>
      <c r="T31" s="79"/>
      <c r="U31" s="49">
        <f t="shared" si="9"/>
        <v>528</v>
      </c>
      <c r="V31" s="29">
        <f t="shared" si="2"/>
        <v>0.99435028248587576</v>
      </c>
      <c r="W31" s="29">
        <f t="shared" si="3"/>
        <v>5.6497175141242938E-3</v>
      </c>
      <c r="X31" s="61">
        <f t="shared" si="6"/>
        <v>0</v>
      </c>
      <c r="Y31" s="61"/>
      <c r="Z31" s="61"/>
      <c r="AA31" s="61"/>
      <c r="AB31" s="61"/>
      <c r="AC31" s="61"/>
      <c r="AD31" s="61"/>
      <c r="AE31" s="49">
        <f t="shared" si="4"/>
        <v>528</v>
      </c>
      <c r="AF31" s="39"/>
      <c r="AG31" s="39"/>
      <c r="AH31" s="39">
        <v>5</v>
      </c>
      <c r="AI31" s="39"/>
      <c r="AJ31" s="39">
        <v>302</v>
      </c>
      <c r="AK31" s="39"/>
      <c r="AL31" s="39">
        <v>2</v>
      </c>
      <c r="AM31" s="39"/>
      <c r="AN31" s="39"/>
      <c r="AO31" s="39">
        <v>3</v>
      </c>
      <c r="AP31" s="39"/>
      <c r="AQ31" s="39">
        <v>2</v>
      </c>
      <c r="AR31" s="39"/>
      <c r="AS31" s="39"/>
      <c r="AT31" s="39"/>
      <c r="AU31" s="39"/>
      <c r="AV31" s="39"/>
      <c r="AW31" s="39">
        <v>209</v>
      </c>
      <c r="AX31" s="39"/>
      <c r="AY31" s="39">
        <v>3</v>
      </c>
      <c r="AZ31" s="39"/>
      <c r="BA31" s="39"/>
      <c r="BB31" s="39">
        <v>2</v>
      </c>
      <c r="BC31" s="39"/>
      <c r="BD31" s="39"/>
      <c r="BE31" s="49">
        <f t="shared" si="5"/>
        <v>531</v>
      </c>
    </row>
    <row r="32" spans="1:57" ht="15" customHeight="1" x14ac:dyDescent="0.2">
      <c r="A32" s="36">
        <v>21</v>
      </c>
      <c r="B32" s="59" t="s">
        <v>402</v>
      </c>
      <c r="C32" s="38" t="s">
        <v>158</v>
      </c>
      <c r="D32" s="38">
        <f>VLOOKUP(C32,Planilha1!$J$2:$L$206,3,)</f>
        <v>2</v>
      </c>
      <c r="E32" s="39" t="s">
        <v>159</v>
      </c>
      <c r="F32" s="40">
        <v>43995</v>
      </c>
      <c r="G32" s="49">
        <v>21</v>
      </c>
      <c r="H32" s="60">
        <f t="shared" si="0"/>
        <v>192</v>
      </c>
      <c r="I32" s="49">
        <f t="shared" si="1"/>
        <v>16</v>
      </c>
      <c r="J32" s="79"/>
      <c r="K32" s="79"/>
      <c r="L32" s="79"/>
      <c r="M32" s="79"/>
      <c r="N32" s="79"/>
      <c r="O32" s="79"/>
      <c r="P32" s="79"/>
      <c r="Q32" s="79"/>
      <c r="R32" s="79"/>
      <c r="S32" s="79">
        <v>16</v>
      </c>
      <c r="T32" s="79"/>
      <c r="U32" s="49">
        <f t="shared" si="9"/>
        <v>176</v>
      </c>
      <c r="V32" s="29">
        <f t="shared" si="2"/>
        <v>0.91666666666666663</v>
      </c>
      <c r="W32" s="29">
        <f t="shared" si="3"/>
        <v>8.3333333333333329E-2</v>
      </c>
      <c r="X32" s="61">
        <f t="shared" si="6"/>
        <v>122</v>
      </c>
      <c r="Y32" s="61"/>
      <c r="Z32" s="61"/>
      <c r="AA32" s="61">
        <v>105</v>
      </c>
      <c r="AB32" s="61">
        <v>14</v>
      </c>
      <c r="AC32" s="61">
        <v>3</v>
      </c>
      <c r="AD32" s="61"/>
      <c r="AE32" s="49">
        <f t="shared" si="4"/>
        <v>54</v>
      </c>
      <c r="AF32" s="39"/>
      <c r="AG32" s="39"/>
      <c r="AH32" s="39"/>
      <c r="AI32" s="39"/>
      <c r="AJ32" s="39">
        <v>10</v>
      </c>
      <c r="AK32" s="39"/>
      <c r="AL32" s="39"/>
      <c r="AM32" s="39">
        <v>1</v>
      </c>
      <c r="AN32" s="39"/>
      <c r="AO32" s="39"/>
      <c r="AP32" s="39"/>
      <c r="AQ32" s="39">
        <v>16</v>
      </c>
      <c r="AR32" s="39"/>
      <c r="AS32" s="39">
        <v>1</v>
      </c>
      <c r="AT32" s="39">
        <v>3</v>
      </c>
      <c r="AU32" s="39"/>
      <c r="AV32" s="39"/>
      <c r="AW32" s="39"/>
      <c r="AX32" s="39"/>
      <c r="AY32" s="39">
        <v>11</v>
      </c>
      <c r="AZ32" s="39"/>
      <c r="BA32" s="39">
        <v>2</v>
      </c>
      <c r="BB32" s="39"/>
      <c r="BC32" s="39">
        <v>10</v>
      </c>
      <c r="BD32" s="39"/>
      <c r="BE32" s="49">
        <f t="shared" si="5"/>
        <v>70</v>
      </c>
    </row>
    <row r="33" spans="1:57" ht="15" customHeight="1" x14ac:dyDescent="0.2">
      <c r="A33" s="36">
        <v>22</v>
      </c>
      <c r="B33" s="59" t="s">
        <v>402</v>
      </c>
      <c r="C33" s="38" t="s">
        <v>160</v>
      </c>
      <c r="D33" s="38">
        <f>VLOOKUP(C33,Planilha1!$J$2:$L$206,3,)</f>
        <v>2</v>
      </c>
      <c r="E33" s="39" t="s">
        <v>159</v>
      </c>
      <c r="F33" s="40">
        <v>71217</v>
      </c>
      <c r="G33" s="49">
        <v>21</v>
      </c>
      <c r="H33" s="60">
        <f t="shared" si="0"/>
        <v>353</v>
      </c>
      <c r="I33" s="49">
        <f t="shared" si="1"/>
        <v>36</v>
      </c>
      <c r="J33" s="79"/>
      <c r="K33" s="79"/>
      <c r="L33" s="79">
        <v>1</v>
      </c>
      <c r="M33" s="79">
        <v>1</v>
      </c>
      <c r="N33" s="79"/>
      <c r="O33" s="79"/>
      <c r="P33" s="79">
        <v>2</v>
      </c>
      <c r="Q33" s="79"/>
      <c r="R33" s="79">
        <v>1</v>
      </c>
      <c r="S33" s="79">
        <v>31</v>
      </c>
      <c r="T33" s="79"/>
      <c r="U33" s="49">
        <f t="shared" si="9"/>
        <v>317</v>
      </c>
      <c r="V33" s="29">
        <f t="shared" si="2"/>
        <v>0.89801699716713879</v>
      </c>
      <c r="W33" s="29">
        <f t="shared" si="3"/>
        <v>0.10198300283286119</v>
      </c>
      <c r="X33" s="61">
        <f t="shared" si="6"/>
        <v>222</v>
      </c>
      <c r="Y33" s="61"/>
      <c r="Z33" s="61"/>
      <c r="AA33" s="61">
        <v>172</v>
      </c>
      <c r="AB33" s="61">
        <v>39</v>
      </c>
      <c r="AC33" s="61">
        <v>11</v>
      </c>
      <c r="AD33" s="61"/>
      <c r="AE33" s="49">
        <f t="shared" si="4"/>
        <v>95</v>
      </c>
      <c r="AF33" s="39"/>
      <c r="AG33" s="39"/>
      <c r="AH33" s="39"/>
      <c r="AI33" s="39"/>
      <c r="AJ33" s="39">
        <v>4</v>
      </c>
      <c r="AK33" s="39"/>
      <c r="AL33" s="39"/>
      <c r="AM33" s="39">
        <v>10</v>
      </c>
      <c r="AN33" s="39"/>
      <c r="AO33" s="39"/>
      <c r="AP33" s="39"/>
      <c r="AQ33" s="39">
        <v>29</v>
      </c>
      <c r="AR33" s="39">
        <v>1</v>
      </c>
      <c r="AS33" s="39"/>
      <c r="AT33" s="39">
        <v>8</v>
      </c>
      <c r="AU33" s="39">
        <v>1</v>
      </c>
      <c r="AV33" s="39"/>
      <c r="AW33" s="39"/>
      <c r="AX33" s="39">
        <v>1</v>
      </c>
      <c r="AY33" s="39">
        <v>11</v>
      </c>
      <c r="AZ33" s="39">
        <v>6</v>
      </c>
      <c r="BA33" s="39">
        <v>4</v>
      </c>
      <c r="BB33" s="39"/>
      <c r="BC33" s="39">
        <v>20</v>
      </c>
      <c r="BD33" s="39"/>
      <c r="BE33" s="49">
        <f t="shared" si="5"/>
        <v>131</v>
      </c>
    </row>
    <row r="34" spans="1:57" ht="15" customHeight="1" x14ac:dyDescent="0.2">
      <c r="A34" s="36">
        <v>23</v>
      </c>
      <c r="B34" s="59" t="s">
        <v>403</v>
      </c>
      <c r="C34" s="38" t="s">
        <v>161</v>
      </c>
      <c r="D34" s="38">
        <f>VLOOKUP(C34,Planilha1!$J$2:$L$206,3,)</f>
        <v>2</v>
      </c>
      <c r="E34" s="39" t="s">
        <v>162</v>
      </c>
      <c r="F34" s="40">
        <v>46375</v>
      </c>
      <c r="G34" s="49">
        <v>20</v>
      </c>
      <c r="H34" s="60">
        <f t="shared" si="0"/>
        <v>274</v>
      </c>
      <c r="I34" s="49">
        <f t="shared" si="1"/>
        <v>17</v>
      </c>
      <c r="J34" s="79"/>
      <c r="K34" s="79"/>
      <c r="L34" s="79"/>
      <c r="M34" s="79"/>
      <c r="N34" s="79"/>
      <c r="O34" s="79"/>
      <c r="P34" s="79"/>
      <c r="Q34" s="79"/>
      <c r="R34" s="79"/>
      <c r="S34" s="79">
        <v>17</v>
      </c>
      <c r="T34" s="79"/>
      <c r="U34" s="49">
        <f t="shared" si="9"/>
        <v>257</v>
      </c>
      <c r="V34" s="29">
        <f t="shared" si="2"/>
        <v>0.93795620437956206</v>
      </c>
      <c r="W34" s="29">
        <f t="shared" si="3"/>
        <v>6.2043795620437957E-2</v>
      </c>
      <c r="X34" s="61">
        <f t="shared" si="6"/>
        <v>215</v>
      </c>
      <c r="Y34" s="61"/>
      <c r="Z34" s="61"/>
      <c r="AA34" s="61">
        <v>184</v>
      </c>
      <c r="AB34" s="61">
        <v>31</v>
      </c>
      <c r="AC34" s="61"/>
      <c r="AD34" s="61"/>
      <c r="AE34" s="49">
        <f t="shared" si="4"/>
        <v>42</v>
      </c>
      <c r="AF34" s="39"/>
      <c r="AG34" s="39">
        <v>1</v>
      </c>
      <c r="AH34" s="39"/>
      <c r="AI34" s="39"/>
      <c r="AJ34" s="39"/>
      <c r="AK34" s="39"/>
      <c r="AL34" s="39"/>
      <c r="AM34" s="39">
        <v>1</v>
      </c>
      <c r="AN34" s="39"/>
      <c r="AO34" s="39"/>
      <c r="AP34" s="39"/>
      <c r="AQ34" s="39">
        <v>8</v>
      </c>
      <c r="AR34" s="39"/>
      <c r="AS34" s="39"/>
      <c r="AT34" s="39">
        <v>3</v>
      </c>
      <c r="AU34" s="39"/>
      <c r="AV34" s="39"/>
      <c r="AW34" s="39"/>
      <c r="AX34" s="39"/>
      <c r="AY34" s="39">
        <v>5</v>
      </c>
      <c r="AZ34" s="39">
        <v>1</v>
      </c>
      <c r="BA34" s="39">
        <v>6</v>
      </c>
      <c r="BB34" s="39"/>
      <c r="BC34" s="39">
        <v>17</v>
      </c>
      <c r="BD34" s="39"/>
      <c r="BE34" s="49">
        <f t="shared" si="5"/>
        <v>59</v>
      </c>
    </row>
    <row r="35" spans="1:57" ht="15" customHeight="1" x14ac:dyDescent="0.2">
      <c r="A35" s="36">
        <v>24</v>
      </c>
      <c r="B35" s="59" t="s">
        <v>403</v>
      </c>
      <c r="C35" s="38" t="s">
        <v>163</v>
      </c>
      <c r="D35" s="38">
        <f>VLOOKUP(C35,Planilha1!$J$2:$L$206,3,)</f>
        <v>2</v>
      </c>
      <c r="E35" s="39" t="s">
        <v>162</v>
      </c>
      <c r="F35" s="40">
        <v>78826</v>
      </c>
      <c r="G35" s="49">
        <v>20</v>
      </c>
      <c r="H35" s="60">
        <f t="shared" si="0"/>
        <v>284</v>
      </c>
      <c r="I35" s="49">
        <f t="shared" si="1"/>
        <v>28</v>
      </c>
      <c r="J35" s="79"/>
      <c r="K35" s="79"/>
      <c r="L35" s="79"/>
      <c r="M35" s="79">
        <v>1</v>
      </c>
      <c r="N35" s="79"/>
      <c r="O35" s="79"/>
      <c r="P35" s="79"/>
      <c r="Q35" s="79">
        <v>1</v>
      </c>
      <c r="R35" s="79"/>
      <c r="S35" s="79">
        <v>26</v>
      </c>
      <c r="T35" s="79"/>
      <c r="U35" s="49">
        <f t="shared" si="9"/>
        <v>256</v>
      </c>
      <c r="V35" s="29">
        <f t="shared" si="2"/>
        <v>0.90140845070422537</v>
      </c>
      <c r="W35" s="29">
        <f t="shared" si="3"/>
        <v>9.8591549295774641E-2</v>
      </c>
      <c r="X35" s="61">
        <f t="shared" si="6"/>
        <v>204</v>
      </c>
      <c r="Y35" s="61"/>
      <c r="Z35" s="61"/>
      <c r="AA35" s="61">
        <v>186</v>
      </c>
      <c r="AB35" s="61">
        <v>16</v>
      </c>
      <c r="AC35" s="61">
        <v>2</v>
      </c>
      <c r="AD35" s="61"/>
      <c r="AE35" s="49">
        <f t="shared" si="4"/>
        <v>52</v>
      </c>
      <c r="AF35" s="39"/>
      <c r="AG35" s="39">
        <v>1</v>
      </c>
      <c r="AH35" s="39"/>
      <c r="AI35" s="39"/>
      <c r="AJ35" s="39"/>
      <c r="AK35" s="39"/>
      <c r="AL35" s="39"/>
      <c r="AM35" s="39">
        <v>4</v>
      </c>
      <c r="AN35" s="39"/>
      <c r="AO35" s="39"/>
      <c r="AP35" s="39"/>
      <c r="AQ35" s="39">
        <v>11</v>
      </c>
      <c r="AR35" s="39"/>
      <c r="AS35" s="39">
        <v>1</v>
      </c>
      <c r="AT35" s="39">
        <v>2</v>
      </c>
      <c r="AU35" s="39"/>
      <c r="AV35" s="39"/>
      <c r="AW35" s="39"/>
      <c r="AX35" s="39"/>
      <c r="AY35" s="39">
        <v>7</v>
      </c>
      <c r="AZ35" s="39">
        <v>3</v>
      </c>
      <c r="BA35" s="39">
        <v>4</v>
      </c>
      <c r="BB35" s="39"/>
      <c r="BC35" s="39">
        <v>19</v>
      </c>
      <c r="BD35" s="39"/>
      <c r="BE35" s="49">
        <f t="shared" si="5"/>
        <v>80</v>
      </c>
    </row>
    <row r="36" spans="1:57" ht="15" customHeight="1" x14ac:dyDescent="0.2">
      <c r="A36" s="36">
        <v>25</v>
      </c>
      <c r="B36" s="59" t="s">
        <v>404</v>
      </c>
      <c r="C36" s="38" t="s">
        <v>164</v>
      </c>
      <c r="D36" s="38">
        <f>VLOOKUP(C36,Planilha1!$J$2:$L$206,3,)</f>
        <v>2</v>
      </c>
      <c r="E36" s="39" t="s">
        <v>165</v>
      </c>
      <c r="F36" s="40">
        <v>120542</v>
      </c>
      <c r="G36" s="49">
        <v>20</v>
      </c>
      <c r="H36" s="60">
        <f t="shared" si="0"/>
        <v>122</v>
      </c>
      <c r="I36" s="49">
        <f t="shared" si="1"/>
        <v>8</v>
      </c>
      <c r="J36" s="79"/>
      <c r="K36" s="79"/>
      <c r="L36" s="79"/>
      <c r="M36" s="79"/>
      <c r="N36" s="79"/>
      <c r="O36" s="79"/>
      <c r="P36" s="79"/>
      <c r="Q36" s="79"/>
      <c r="R36" s="79"/>
      <c r="S36" s="79">
        <v>8</v>
      </c>
      <c r="T36" s="79"/>
      <c r="U36" s="49">
        <f t="shared" si="9"/>
        <v>114</v>
      </c>
      <c r="V36" s="29">
        <f t="shared" si="2"/>
        <v>0.93442622950819676</v>
      </c>
      <c r="W36" s="29">
        <f t="shared" si="3"/>
        <v>6.5573770491803282E-2</v>
      </c>
      <c r="X36" s="61">
        <f t="shared" si="6"/>
        <v>70</v>
      </c>
      <c r="Y36" s="61"/>
      <c r="Z36" s="61"/>
      <c r="AA36" s="61">
        <v>61</v>
      </c>
      <c r="AB36" s="61">
        <v>8</v>
      </c>
      <c r="AC36" s="61">
        <v>1</v>
      </c>
      <c r="AD36" s="61"/>
      <c r="AE36" s="49">
        <f t="shared" si="4"/>
        <v>44</v>
      </c>
      <c r="AF36" s="39"/>
      <c r="AG36" s="39">
        <v>1</v>
      </c>
      <c r="AH36" s="39"/>
      <c r="AI36" s="39"/>
      <c r="AJ36" s="39">
        <v>2</v>
      </c>
      <c r="AK36" s="39"/>
      <c r="AL36" s="39"/>
      <c r="AM36" s="39">
        <v>3</v>
      </c>
      <c r="AN36" s="39"/>
      <c r="AO36" s="39"/>
      <c r="AP36" s="39"/>
      <c r="AQ36" s="39">
        <v>13</v>
      </c>
      <c r="AR36" s="39"/>
      <c r="AS36" s="39"/>
      <c r="AT36" s="39">
        <v>3</v>
      </c>
      <c r="AU36" s="39"/>
      <c r="AV36" s="39"/>
      <c r="AW36" s="39"/>
      <c r="AX36" s="39"/>
      <c r="AY36" s="39">
        <v>12</v>
      </c>
      <c r="AZ36" s="39"/>
      <c r="BA36" s="39">
        <v>3</v>
      </c>
      <c r="BB36" s="39"/>
      <c r="BC36" s="39">
        <v>7</v>
      </c>
      <c r="BD36" s="39"/>
      <c r="BE36" s="49">
        <f t="shared" si="5"/>
        <v>52</v>
      </c>
    </row>
    <row r="37" spans="1:57" ht="15" customHeight="1" x14ac:dyDescent="0.2">
      <c r="A37" s="36">
        <v>26</v>
      </c>
      <c r="B37" s="59" t="s">
        <v>404</v>
      </c>
      <c r="C37" s="38" t="s">
        <v>166</v>
      </c>
      <c r="D37" s="38">
        <f>VLOOKUP(C37,Planilha1!$J$2:$L$206,3,)</f>
        <v>2</v>
      </c>
      <c r="E37" s="39" t="s">
        <v>165</v>
      </c>
      <c r="F37" s="40">
        <v>154755</v>
      </c>
      <c r="G37" s="49">
        <v>20</v>
      </c>
      <c r="H37" s="60">
        <f t="shared" si="0"/>
        <v>105</v>
      </c>
      <c r="I37" s="49">
        <f t="shared" si="1"/>
        <v>34</v>
      </c>
      <c r="J37" s="79"/>
      <c r="K37" s="79"/>
      <c r="L37" s="79">
        <v>2</v>
      </c>
      <c r="M37" s="79"/>
      <c r="N37" s="79"/>
      <c r="O37" s="79"/>
      <c r="P37" s="79">
        <v>4</v>
      </c>
      <c r="Q37" s="79">
        <v>13</v>
      </c>
      <c r="R37" s="79"/>
      <c r="S37" s="79"/>
      <c r="T37" s="79">
        <v>15</v>
      </c>
      <c r="U37" s="49">
        <f t="shared" si="9"/>
        <v>71</v>
      </c>
      <c r="V37" s="29">
        <f t="shared" si="2"/>
        <v>0.67619047619047623</v>
      </c>
      <c r="W37" s="29">
        <f t="shared" si="3"/>
        <v>0.32380952380952382</v>
      </c>
      <c r="X37" s="61">
        <f t="shared" si="6"/>
        <v>39</v>
      </c>
      <c r="Y37" s="61"/>
      <c r="Z37" s="61"/>
      <c r="AA37" s="61">
        <v>31</v>
      </c>
      <c r="AB37" s="61">
        <v>5</v>
      </c>
      <c r="AC37" s="61">
        <v>3</v>
      </c>
      <c r="AD37" s="61"/>
      <c r="AE37" s="49">
        <f t="shared" si="4"/>
        <v>32</v>
      </c>
      <c r="AF37" s="39"/>
      <c r="AG37" s="39"/>
      <c r="AH37" s="39"/>
      <c r="AI37" s="39"/>
      <c r="AJ37" s="39">
        <v>2</v>
      </c>
      <c r="AK37" s="39"/>
      <c r="AL37" s="39"/>
      <c r="AM37" s="39"/>
      <c r="AN37" s="39"/>
      <c r="AO37" s="39"/>
      <c r="AP37" s="39"/>
      <c r="AQ37" s="39">
        <v>8</v>
      </c>
      <c r="AR37" s="39"/>
      <c r="AS37" s="39"/>
      <c r="AT37" s="39">
        <v>3</v>
      </c>
      <c r="AU37" s="39"/>
      <c r="AV37" s="39"/>
      <c r="AW37" s="39"/>
      <c r="AX37" s="39"/>
      <c r="AY37" s="39">
        <v>5</v>
      </c>
      <c r="AZ37" s="39">
        <v>9</v>
      </c>
      <c r="BA37" s="39">
        <v>1</v>
      </c>
      <c r="BB37" s="39"/>
      <c r="BC37" s="39">
        <v>4</v>
      </c>
      <c r="BD37" s="39"/>
      <c r="BE37" s="49">
        <f t="shared" si="5"/>
        <v>66</v>
      </c>
    </row>
    <row r="38" spans="1:57" ht="15" customHeight="1" x14ac:dyDescent="0.2">
      <c r="A38" s="36">
        <v>27</v>
      </c>
      <c r="B38" s="59" t="s">
        <v>405</v>
      </c>
      <c r="C38" s="38" t="s">
        <v>167</v>
      </c>
      <c r="D38" s="38">
        <f>VLOOKUP(C38,Planilha1!$J$2:$L$206,3,)</f>
        <v>2</v>
      </c>
      <c r="E38" s="39" t="s">
        <v>168</v>
      </c>
      <c r="F38" s="40">
        <v>135125</v>
      </c>
      <c r="G38" s="49">
        <v>20</v>
      </c>
      <c r="H38" s="60">
        <f t="shared" ref="H38:H39" si="10">I38+U38</f>
        <v>78</v>
      </c>
      <c r="I38" s="49">
        <f t="shared" si="1"/>
        <v>3</v>
      </c>
      <c r="J38" s="79"/>
      <c r="K38" s="79"/>
      <c r="L38" s="79"/>
      <c r="M38" s="79"/>
      <c r="N38" s="79"/>
      <c r="O38" s="79"/>
      <c r="P38" s="79"/>
      <c r="Q38" s="79"/>
      <c r="R38" s="79"/>
      <c r="S38" s="79">
        <v>3</v>
      </c>
      <c r="T38" s="79"/>
      <c r="U38" s="49">
        <f t="shared" si="9"/>
        <v>75</v>
      </c>
      <c r="V38" s="29">
        <f t="shared" si="2"/>
        <v>0.96153846153846156</v>
      </c>
      <c r="W38" s="29">
        <f t="shared" si="3"/>
        <v>3.8461538461538464E-2</v>
      </c>
      <c r="X38" s="61">
        <f t="shared" si="6"/>
        <v>33</v>
      </c>
      <c r="Y38" s="61"/>
      <c r="Z38" s="61"/>
      <c r="AA38" s="61">
        <v>26</v>
      </c>
      <c r="AB38" s="61">
        <v>6</v>
      </c>
      <c r="AC38" s="61">
        <v>1</v>
      </c>
      <c r="AD38" s="61"/>
      <c r="AE38" s="49">
        <f t="shared" si="4"/>
        <v>42</v>
      </c>
      <c r="AF38" s="39"/>
      <c r="AG38" s="39"/>
      <c r="AH38" s="39"/>
      <c r="AI38" s="39">
        <v>1</v>
      </c>
      <c r="AJ38" s="39">
        <v>1</v>
      </c>
      <c r="AK38" s="39"/>
      <c r="AL38" s="39"/>
      <c r="AM38" s="39">
        <v>2</v>
      </c>
      <c r="AN38" s="39"/>
      <c r="AO38" s="39"/>
      <c r="AP38" s="39"/>
      <c r="AQ38" s="39">
        <v>14</v>
      </c>
      <c r="AR38" s="39"/>
      <c r="AS38" s="39"/>
      <c r="AT38" s="39">
        <v>2</v>
      </c>
      <c r="AU38" s="39"/>
      <c r="AV38" s="39"/>
      <c r="AW38" s="39"/>
      <c r="AX38" s="39"/>
      <c r="AY38" s="39">
        <v>10</v>
      </c>
      <c r="AZ38" s="39"/>
      <c r="BA38" s="39">
        <v>5</v>
      </c>
      <c r="BB38" s="39"/>
      <c r="BC38" s="39">
        <v>7</v>
      </c>
      <c r="BD38" s="39"/>
      <c r="BE38" s="49">
        <f t="shared" si="5"/>
        <v>45</v>
      </c>
    </row>
    <row r="39" spans="1:57" ht="15" customHeight="1" x14ac:dyDescent="0.2">
      <c r="A39" s="36">
        <v>28</v>
      </c>
      <c r="B39" s="59" t="s">
        <v>405</v>
      </c>
      <c r="C39" s="38" t="s">
        <v>169</v>
      </c>
      <c r="D39" s="38">
        <f>VLOOKUP(C39,Planilha1!$J$2:$L$206,3,)</f>
        <v>2</v>
      </c>
      <c r="E39" s="39" t="s">
        <v>168</v>
      </c>
      <c r="F39" s="40">
        <v>188632</v>
      </c>
      <c r="G39" s="49">
        <v>20</v>
      </c>
      <c r="H39" s="60">
        <f t="shared" si="10"/>
        <v>99</v>
      </c>
      <c r="I39" s="49">
        <f t="shared" si="1"/>
        <v>11</v>
      </c>
      <c r="J39" s="79"/>
      <c r="K39" s="79"/>
      <c r="L39" s="79">
        <v>1</v>
      </c>
      <c r="M39" s="79"/>
      <c r="N39" s="79"/>
      <c r="O39" s="79"/>
      <c r="P39" s="79">
        <v>1</v>
      </c>
      <c r="Q39" s="79">
        <v>4</v>
      </c>
      <c r="R39" s="79"/>
      <c r="S39" s="79">
        <v>2</v>
      </c>
      <c r="T39" s="79">
        <v>3</v>
      </c>
      <c r="U39" s="49">
        <f t="shared" si="9"/>
        <v>88</v>
      </c>
      <c r="V39" s="29">
        <f t="shared" si="2"/>
        <v>0.88888888888888884</v>
      </c>
      <c r="W39" s="29">
        <f t="shared" si="3"/>
        <v>0.1111111111111111</v>
      </c>
      <c r="X39" s="61">
        <f t="shared" si="6"/>
        <v>34</v>
      </c>
      <c r="Y39" s="61"/>
      <c r="Z39" s="61"/>
      <c r="AA39" s="61">
        <v>29</v>
      </c>
      <c r="AB39" s="61">
        <v>5</v>
      </c>
      <c r="AC39" s="61"/>
      <c r="AD39" s="61"/>
      <c r="AE39" s="49">
        <f t="shared" si="4"/>
        <v>54</v>
      </c>
      <c r="AF39" s="39"/>
      <c r="AG39" s="39"/>
      <c r="AH39" s="39"/>
      <c r="AI39" s="39"/>
      <c r="AJ39" s="39"/>
      <c r="AK39" s="39"/>
      <c r="AL39" s="39"/>
      <c r="AM39" s="39">
        <v>7</v>
      </c>
      <c r="AN39" s="39"/>
      <c r="AO39" s="39"/>
      <c r="AP39" s="39"/>
      <c r="AQ39" s="39">
        <v>11</v>
      </c>
      <c r="AR39" s="39"/>
      <c r="AS39" s="39"/>
      <c r="AT39" s="39">
        <v>2</v>
      </c>
      <c r="AU39" s="39"/>
      <c r="AV39" s="39"/>
      <c r="AW39" s="39"/>
      <c r="AX39" s="39"/>
      <c r="AY39" s="39">
        <v>10</v>
      </c>
      <c r="AZ39" s="39">
        <v>8</v>
      </c>
      <c r="BA39" s="39">
        <v>7</v>
      </c>
      <c r="BB39" s="39"/>
      <c r="BC39" s="39">
        <v>9</v>
      </c>
      <c r="BD39" s="39"/>
      <c r="BE39" s="49">
        <f t="shared" si="5"/>
        <v>65</v>
      </c>
    </row>
    <row r="40" spans="1:57" ht="15" customHeight="1" x14ac:dyDescent="0.2">
      <c r="A40" s="36">
        <v>29</v>
      </c>
      <c r="B40" s="59" t="s">
        <v>77</v>
      </c>
      <c r="C40" s="38" t="s">
        <v>73</v>
      </c>
      <c r="D40" s="38">
        <f>VLOOKUP(C40,Planilha1!$J$2:$L$206,3,)</f>
        <v>2</v>
      </c>
      <c r="E40" s="39" t="s">
        <v>71</v>
      </c>
      <c r="F40" s="40">
        <v>205870</v>
      </c>
      <c r="G40" s="49">
        <v>30</v>
      </c>
      <c r="H40" s="60">
        <f t="shared" ref="H40:H103" si="11">I40+U40</f>
        <v>262</v>
      </c>
      <c r="I40" s="49">
        <f t="shared" ref="I40:I103" si="12">SUM(J40:T40)</f>
        <v>9</v>
      </c>
      <c r="J40" s="79"/>
      <c r="K40" s="79"/>
      <c r="L40" s="79"/>
      <c r="M40" s="79"/>
      <c r="N40" s="79"/>
      <c r="O40" s="79">
        <v>2</v>
      </c>
      <c r="P40" s="79">
        <v>1</v>
      </c>
      <c r="Q40" s="79">
        <v>4</v>
      </c>
      <c r="R40" s="79">
        <v>2</v>
      </c>
      <c r="S40" s="79"/>
      <c r="T40" s="79"/>
      <c r="U40" s="49">
        <f t="shared" ref="U40:U103" si="13">X40+AE40</f>
        <v>253</v>
      </c>
      <c r="V40" s="29">
        <f t="shared" ref="V40:V103" si="14">IF(H40,U40/H40,0)</f>
        <v>0.96564885496183206</v>
      </c>
      <c r="W40" s="29">
        <f t="shared" ref="W40:W103" si="15">IF(H40,I40/H40,0)</f>
        <v>3.4351145038167941E-2</v>
      </c>
      <c r="X40" s="61">
        <f t="shared" ref="X40:X103" si="16">SUM(Y40:AD40)</f>
        <v>134</v>
      </c>
      <c r="Y40" s="61"/>
      <c r="Z40" s="61"/>
      <c r="AA40" s="61">
        <v>97</v>
      </c>
      <c r="AB40" s="61">
        <v>28</v>
      </c>
      <c r="AC40" s="61">
        <v>9</v>
      </c>
      <c r="AD40" s="61"/>
      <c r="AE40" s="49">
        <f t="shared" ref="AE40:AE103" si="17">SUM(AF40:BD40)</f>
        <v>119</v>
      </c>
      <c r="AF40" s="39"/>
      <c r="AG40" s="39"/>
      <c r="AH40" s="39"/>
      <c r="AI40" s="39"/>
      <c r="AJ40" s="39"/>
      <c r="AK40" s="39"/>
      <c r="AL40" s="39"/>
      <c r="AM40" s="39">
        <v>1</v>
      </c>
      <c r="AN40" s="39">
        <v>1</v>
      </c>
      <c r="AO40" s="39"/>
      <c r="AP40" s="39"/>
      <c r="AQ40" s="39">
        <v>23</v>
      </c>
      <c r="AR40" s="39"/>
      <c r="AS40" s="39"/>
      <c r="AT40" s="39">
        <v>3</v>
      </c>
      <c r="AU40" s="39"/>
      <c r="AV40" s="39"/>
      <c r="AW40" s="39"/>
      <c r="AX40" s="39"/>
      <c r="AY40" s="39">
        <v>47</v>
      </c>
      <c r="AZ40" s="39">
        <v>5</v>
      </c>
      <c r="BA40" s="39">
        <v>20</v>
      </c>
      <c r="BB40" s="39">
        <v>1</v>
      </c>
      <c r="BC40" s="39">
        <v>18</v>
      </c>
      <c r="BD40" s="39"/>
      <c r="BE40" s="49">
        <f t="shared" ref="BE40:BE103" si="18">I40+AE40</f>
        <v>128</v>
      </c>
    </row>
    <row r="41" spans="1:57" ht="15" customHeight="1" x14ac:dyDescent="0.2">
      <c r="A41" s="36">
        <v>30</v>
      </c>
      <c r="B41" s="59" t="s">
        <v>77</v>
      </c>
      <c r="C41" s="38" t="s">
        <v>74</v>
      </c>
      <c r="D41" s="38">
        <f>VLOOKUP(C41,Planilha1!$J$2:$L$206,3,)</f>
        <v>2</v>
      </c>
      <c r="E41" s="39" t="s">
        <v>71</v>
      </c>
      <c r="F41" s="40">
        <v>69380</v>
      </c>
      <c r="G41" s="49">
        <v>30</v>
      </c>
      <c r="H41" s="60">
        <f t="shared" si="11"/>
        <v>80</v>
      </c>
      <c r="I41" s="49">
        <f t="shared" si="12"/>
        <v>4</v>
      </c>
      <c r="J41" s="79"/>
      <c r="K41" s="79"/>
      <c r="L41" s="79"/>
      <c r="M41" s="79"/>
      <c r="N41" s="79"/>
      <c r="O41" s="79">
        <v>1</v>
      </c>
      <c r="P41" s="79"/>
      <c r="Q41" s="79">
        <v>1</v>
      </c>
      <c r="R41" s="79"/>
      <c r="S41" s="79"/>
      <c r="T41" s="79">
        <v>2</v>
      </c>
      <c r="U41" s="49">
        <f t="shared" si="13"/>
        <v>76</v>
      </c>
      <c r="V41" s="29">
        <f t="shared" si="14"/>
        <v>0.95</v>
      </c>
      <c r="W41" s="29">
        <f t="shared" si="15"/>
        <v>0.05</v>
      </c>
      <c r="X41" s="61">
        <f t="shared" si="16"/>
        <v>37</v>
      </c>
      <c r="Y41" s="61"/>
      <c r="Z41" s="61"/>
      <c r="AA41" s="61">
        <v>25</v>
      </c>
      <c r="AB41" s="61">
        <v>10</v>
      </c>
      <c r="AC41" s="61">
        <v>2</v>
      </c>
      <c r="AD41" s="61"/>
      <c r="AE41" s="49">
        <f t="shared" si="17"/>
        <v>39</v>
      </c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>
        <v>3</v>
      </c>
      <c r="AR41" s="39"/>
      <c r="AS41" s="39"/>
      <c r="AT41" s="39">
        <v>1</v>
      </c>
      <c r="AU41" s="39"/>
      <c r="AV41" s="39"/>
      <c r="AW41" s="39"/>
      <c r="AX41" s="39"/>
      <c r="AY41" s="39">
        <v>7</v>
      </c>
      <c r="AZ41" s="39">
        <v>2</v>
      </c>
      <c r="BA41" s="39"/>
      <c r="BB41" s="39"/>
      <c r="BC41" s="39">
        <v>26</v>
      </c>
      <c r="BD41" s="39"/>
      <c r="BE41" s="49">
        <f t="shared" si="18"/>
        <v>43</v>
      </c>
    </row>
    <row r="42" spans="1:57" ht="15" customHeight="1" x14ac:dyDescent="0.2">
      <c r="A42" s="36">
        <v>31</v>
      </c>
      <c r="B42" s="59" t="s">
        <v>406</v>
      </c>
      <c r="C42" s="38" t="s">
        <v>205</v>
      </c>
      <c r="D42" s="38">
        <f>VLOOKUP(C42,Planilha1!$J$2:$L$206,3,)</f>
        <v>3</v>
      </c>
      <c r="E42" s="39" t="s">
        <v>206</v>
      </c>
      <c r="F42" s="40">
        <v>60127</v>
      </c>
      <c r="G42" s="49">
        <v>21</v>
      </c>
      <c r="H42" s="60">
        <f t="shared" si="11"/>
        <v>714</v>
      </c>
      <c r="I42" s="49">
        <f t="shared" si="12"/>
        <v>87</v>
      </c>
      <c r="J42" s="79"/>
      <c r="K42" s="79">
        <v>1</v>
      </c>
      <c r="L42" s="79"/>
      <c r="M42" s="79">
        <v>1</v>
      </c>
      <c r="N42" s="79"/>
      <c r="O42" s="79"/>
      <c r="P42" s="79">
        <v>19</v>
      </c>
      <c r="Q42" s="79">
        <v>3</v>
      </c>
      <c r="R42" s="79"/>
      <c r="S42" s="79">
        <v>60</v>
      </c>
      <c r="T42" s="79">
        <v>3</v>
      </c>
      <c r="U42" s="49">
        <f t="shared" si="13"/>
        <v>627</v>
      </c>
      <c r="V42" s="29">
        <f t="shared" si="14"/>
        <v>0.87815126050420167</v>
      </c>
      <c r="W42" s="29">
        <f t="shared" si="15"/>
        <v>0.12184873949579832</v>
      </c>
      <c r="X42" s="61">
        <f t="shared" si="16"/>
        <v>533</v>
      </c>
      <c r="Y42" s="61"/>
      <c r="Z42" s="61">
        <v>55</v>
      </c>
      <c r="AA42" s="61">
        <v>414</v>
      </c>
      <c r="AB42" s="61">
        <v>62</v>
      </c>
      <c r="AC42" s="61">
        <v>2</v>
      </c>
      <c r="AD42" s="61"/>
      <c r="AE42" s="49">
        <f t="shared" si="17"/>
        <v>94</v>
      </c>
      <c r="AF42" s="39"/>
      <c r="AG42" s="39">
        <v>2</v>
      </c>
      <c r="AH42" s="39"/>
      <c r="AI42" s="39"/>
      <c r="AJ42" s="39">
        <v>2</v>
      </c>
      <c r="AK42" s="39">
        <v>23</v>
      </c>
      <c r="AL42" s="39">
        <v>2</v>
      </c>
      <c r="AM42" s="39">
        <v>8</v>
      </c>
      <c r="AN42" s="39"/>
      <c r="AO42" s="39"/>
      <c r="AP42" s="39">
        <v>4</v>
      </c>
      <c r="AQ42" s="39">
        <v>12</v>
      </c>
      <c r="AR42" s="39"/>
      <c r="AS42" s="39">
        <v>4</v>
      </c>
      <c r="AT42" s="39">
        <v>5</v>
      </c>
      <c r="AU42" s="39"/>
      <c r="AV42" s="39">
        <v>1</v>
      </c>
      <c r="AW42" s="39"/>
      <c r="AX42" s="39"/>
      <c r="AY42" s="39">
        <v>22</v>
      </c>
      <c r="AZ42" s="39">
        <v>1</v>
      </c>
      <c r="BA42" s="39">
        <v>3</v>
      </c>
      <c r="BB42" s="39"/>
      <c r="BC42" s="39">
        <v>5</v>
      </c>
      <c r="BD42" s="39"/>
      <c r="BE42" s="49">
        <f t="shared" si="18"/>
        <v>181</v>
      </c>
    </row>
    <row r="43" spans="1:57" ht="15" customHeight="1" x14ac:dyDescent="0.2">
      <c r="A43" s="36">
        <v>32</v>
      </c>
      <c r="B43" s="59" t="s">
        <v>406</v>
      </c>
      <c r="C43" s="38" t="s">
        <v>207</v>
      </c>
      <c r="D43" s="38">
        <f>VLOOKUP(C43,Planilha1!$J$2:$L$206,3,)</f>
        <v>3</v>
      </c>
      <c r="E43" s="39" t="s">
        <v>206</v>
      </c>
      <c r="F43" s="40">
        <v>69337</v>
      </c>
      <c r="G43" s="49">
        <v>21</v>
      </c>
      <c r="H43" s="60">
        <f t="shared" si="11"/>
        <v>390</v>
      </c>
      <c r="I43" s="49">
        <f t="shared" si="12"/>
        <v>47</v>
      </c>
      <c r="J43" s="79"/>
      <c r="K43" s="39"/>
      <c r="L43" s="39"/>
      <c r="M43" s="39"/>
      <c r="N43" s="39"/>
      <c r="O43" s="39"/>
      <c r="P43" s="39">
        <v>18</v>
      </c>
      <c r="Q43" s="39">
        <v>1</v>
      </c>
      <c r="R43" s="39"/>
      <c r="S43" s="39">
        <v>27</v>
      </c>
      <c r="T43" s="39">
        <v>1</v>
      </c>
      <c r="U43" s="49">
        <f t="shared" si="13"/>
        <v>343</v>
      </c>
      <c r="V43" s="29">
        <f t="shared" si="14"/>
        <v>0.87948717948717947</v>
      </c>
      <c r="W43" s="29">
        <f t="shared" si="15"/>
        <v>0.12051282051282051</v>
      </c>
      <c r="X43" s="61">
        <f t="shared" si="16"/>
        <v>282</v>
      </c>
      <c r="Y43" s="61"/>
      <c r="Z43" s="61">
        <v>59</v>
      </c>
      <c r="AA43" s="61">
        <v>197</v>
      </c>
      <c r="AB43" s="61">
        <v>26</v>
      </c>
      <c r="AC43" s="61"/>
      <c r="AD43" s="61"/>
      <c r="AE43" s="49">
        <f t="shared" si="17"/>
        <v>61</v>
      </c>
      <c r="AF43" s="39"/>
      <c r="AG43" s="39"/>
      <c r="AH43" s="39"/>
      <c r="AI43" s="39"/>
      <c r="AJ43" s="39"/>
      <c r="AK43" s="39"/>
      <c r="AL43" s="39"/>
      <c r="AM43" s="39">
        <v>1</v>
      </c>
      <c r="AN43" s="39"/>
      <c r="AO43" s="39"/>
      <c r="AP43" s="39">
        <v>21</v>
      </c>
      <c r="AQ43" s="39">
        <v>2</v>
      </c>
      <c r="AR43" s="39">
        <v>1</v>
      </c>
      <c r="AS43" s="39">
        <v>2</v>
      </c>
      <c r="AT43" s="39">
        <v>7</v>
      </c>
      <c r="AU43" s="39"/>
      <c r="AV43" s="39"/>
      <c r="AW43" s="39"/>
      <c r="AX43" s="39"/>
      <c r="AY43" s="39">
        <v>8</v>
      </c>
      <c r="AZ43" s="39">
        <v>5</v>
      </c>
      <c r="BA43" s="39">
        <v>3</v>
      </c>
      <c r="BB43" s="39"/>
      <c r="BC43" s="39">
        <v>10</v>
      </c>
      <c r="BD43" s="39">
        <v>1</v>
      </c>
      <c r="BE43" s="49">
        <f t="shared" si="18"/>
        <v>108</v>
      </c>
    </row>
    <row r="44" spans="1:57" ht="15" customHeight="1" x14ac:dyDescent="0.2">
      <c r="A44" s="36">
        <v>33</v>
      </c>
      <c r="B44" s="59" t="s">
        <v>407</v>
      </c>
      <c r="C44" s="38" t="s">
        <v>208</v>
      </c>
      <c r="D44" s="38">
        <f>VLOOKUP(C44,Planilha1!$J$2:$L$206,3,)</f>
        <v>3</v>
      </c>
      <c r="E44" s="39" t="s">
        <v>209</v>
      </c>
      <c r="F44" s="40">
        <v>88650</v>
      </c>
      <c r="G44" s="49">
        <v>18</v>
      </c>
      <c r="H44" s="60">
        <f t="shared" si="11"/>
        <v>156</v>
      </c>
      <c r="I44" s="49">
        <f t="shared" si="12"/>
        <v>11</v>
      </c>
      <c r="J44" s="39"/>
      <c r="K44" s="39">
        <v>5</v>
      </c>
      <c r="L44" s="39">
        <v>1</v>
      </c>
      <c r="M44" s="39">
        <v>1</v>
      </c>
      <c r="N44" s="39">
        <v>1</v>
      </c>
      <c r="O44" s="39"/>
      <c r="P44" s="39">
        <v>1</v>
      </c>
      <c r="Q44" s="39">
        <v>2</v>
      </c>
      <c r="R44" s="39"/>
      <c r="S44" s="39"/>
      <c r="T44" s="39"/>
      <c r="U44" s="49">
        <f t="shared" si="13"/>
        <v>145</v>
      </c>
      <c r="V44" s="29">
        <f t="shared" si="14"/>
        <v>0.92948717948717952</v>
      </c>
      <c r="W44" s="29">
        <f t="shared" si="15"/>
        <v>7.0512820512820512E-2</v>
      </c>
      <c r="X44" s="61">
        <f t="shared" si="16"/>
        <v>108</v>
      </c>
      <c r="Y44" s="61">
        <v>29</v>
      </c>
      <c r="Z44" s="61">
        <v>14</v>
      </c>
      <c r="AA44" s="61">
        <v>56</v>
      </c>
      <c r="AB44" s="61">
        <v>8</v>
      </c>
      <c r="AC44" s="61">
        <v>1</v>
      </c>
      <c r="AD44" s="61"/>
      <c r="AE44" s="49">
        <f t="shared" si="17"/>
        <v>37</v>
      </c>
      <c r="AF44" s="39">
        <v>9</v>
      </c>
      <c r="AG44" s="39"/>
      <c r="AH44" s="39"/>
      <c r="AI44" s="39"/>
      <c r="AJ44" s="39"/>
      <c r="AK44" s="39"/>
      <c r="AL44" s="39">
        <v>4</v>
      </c>
      <c r="AM44" s="39">
        <v>4</v>
      </c>
      <c r="AN44" s="39"/>
      <c r="AO44" s="39"/>
      <c r="AP44" s="39">
        <v>1</v>
      </c>
      <c r="AQ44" s="39">
        <v>2</v>
      </c>
      <c r="AR44" s="39"/>
      <c r="AS44" s="39"/>
      <c r="AT44" s="39">
        <v>2</v>
      </c>
      <c r="AU44" s="39">
        <v>1</v>
      </c>
      <c r="AV44" s="39"/>
      <c r="AW44" s="39"/>
      <c r="AX44" s="39"/>
      <c r="AY44" s="39">
        <v>11</v>
      </c>
      <c r="AZ44" s="39"/>
      <c r="BA44" s="39">
        <v>1</v>
      </c>
      <c r="BB44" s="39"/>
      <c r="BC44" s="39">
        <v>2</v>
      </c>
      <c r="BD44" s="39"/>
      <c r="BE44" s="49">
        <f t="shared" si="18"/>
        <v>48</v>
      </c>
    </row>
    <row r="45" spans="1:57" ht="15" customHeight="1" x14ac:dyDescent="0.2">
      <c r="A45" s="36">
        <v>34</v>
      </c>
      <c r="B45" s="59" t="s">
        <v>407</v>
      </c>
      <c r="C45" s="38" t="s">
        <v>210</v>
      </c>
      <c r="D45" s="38">
        <f>VLOOKUP(C45,Planilha1!$J$2:$L$206,3,)</f>
        <v>3</v>
      </c>
      <c r="E45" s="39" t="s">
        <v>209</v>
      </c>
      <c r="F45" s="40">
        <v>105208</v>
      </c>
      <c r="G45" s="49">
        <v>18</v>
      </c>
      <c r="H45" s="60">
        <f t="shared" si="11"/>
        <v>194</v>
      </c>
      <c r="I45" s="49">
        <f t="shared" si="12"/>
        <v>10</v>
      </c>
      <c r="J45" s="39"/>
      <c r="K45" s="39">
        <v>1</v>
      </c>
      <c r="L45" s="39"/>
      <c r="M45" s="39"/>
      <c r="N45" s="39"/>
      <c r="O45" s="39"/>
      <c r="P45" s="39">
        <v>2</v>
      </c>
      <c r="Q45" s="39">
        <v>4</v>
      </c>
      <c r="R45" s="39"/>
      <c r="S45" s="39"/>
      <c r="T45" s="39">
        <v>3</v>
      </c>
      <c r="U45" s="49">
        <f t="shared" si="13"/>
        <v>184</v>
      </c>
      <c r="V45" s="29">
        <f t="shared" si="14"/>
        <v>0.94845360824742264</v>
      </c>
      <c r="W45" s="29">
        <f t="shared" si="15"/>
        <v>5.1546391752577317E-2</v>
      </c>
      <c r="X45" s="61">
        <f t="shared" si="16"/>
        <v>134</v>
      </c>
      <c r="Y45" s="61">
        <v>6</v>
      </c>
      <c r="Z45" s="61">
        <v>19</v>
      </c>
      <c r="AA45" s="61">
        <v>95</v>
      </c>
      <c r="AB45" s="61">
        <v>14</v>
      </c>
      <c r="AC45" s="61"/>
      <c r="AD45" s="61"/>
      <c r="AE45" s="49">
        <f t="shared" si="17"/>
        <v>50</v>
      </c>
      <c r="AF45" s="39">
        <v>7</v>
      </c>
      <c r="AG45" s="39"/>
      <c r="AH45" s="39"/>
      <c r="AI45" s="39"/>
      <c r="AJ45" s="39"/>
      <c r="AK45" s="39"/>
      <c r="AL45" s="39">
        <v>2</v>
      </c>
      <c r="AM45" s="39">
        <v>3</v>
      </c>
      <c r="AN45" s="39"/>
      <c r="AO45" s="39"/>
      <c r="AP45" s="39"/>
      <c r="AQ45" s="39">
        <v>3</v>
      </c>
      <c r="AR45" s="39"/>
      <c r="AS45" s="39"/>
      <c r="AT45" s="39">
        <v>5</v>
      </c>
      <c r="AU45" s="39"/>
      <c r="AV45" s="39"/>
      <c r="AW45" s="39"/>
      <c r="AX45" s="39"/>
      <c r="AY45" s="39">
        <v>25</v>
      </c>
      <c r="AZ45" s="39">
        <v>1</v>
      </c>
      <c r="BA45" s="39">
        <v>1</v>
      </c>
      <c r="BB45" s="39"/>
      <c r="BC45" s="39">
        <v>3</v>
      </c>
      <c r="BD45" s="39"/>
      <c r="BE45" s="49">
        <f t="shared" si="18"/>
        <v>60</v>
      </c>
    </row>
    <row r="46" spans="1:57" ht="15" customHeight="1" x14ac:dyDescent="0.2">
      <c r="A46" s="36">
        <v>35</v>
      </c>
      <c r="B46" s="59" t="s">
        <v>407</v>
      </c>
      <c r="C46" s="38" t="s">
        <v>211</v>
      </c>
      <c r="D46" s="38">
        <f>VLOOKUP(C46,Planilha1!$J$2:$L$206,3,)</f>
        <v>3</v>
      </c>
      <c r="E46" s="39" t="s">
        <v>209</v>
      </c>
      <c r="F46" s="40">
        <v>63414</v>
      </c>
      <c r="G46" s="49">
        <v>18</v>
      </c>
      <c r="H46" s="60">
        <f t="shared" si="11"/>
        <v>106</v>
      </c>
      <c r="I46" s="49">
        <f t="shared" si="12"/>
        <v>21</v>
      </c>
      <c r="J46" s="39"/>
      <c r="K46" s="39">
        <v>3</v>
      </c>
      <c r="L46" s="39">
        <v>1</v>
      </c>
      <c r="M46" s="39">
        <v>1</v>
      </c>
      <c r="N46" s="39"/>
      <c r="O46" s="39"/>
      <c r="P46" s="39">
        <v>5</v>
      </c>
      <c r="Q46" s="39">
        <v>3</v>
      </c>
      <c r="R46" s="39"/>
      <c r="S46" s="39"/>
      <c r="T46" s="39">
        <v>8</v>
      </c>
      <c r="U46" s="49">
        <f t="shared" si="13"/>
        <v>85</v>
      </c>
      <c r="V46" s="29">
        <f t="shared" si="14"/>
        <v>0.80188679245283023</v>
      </c>
      <c r="W46" s="29">
        <f t="shared" si="15"/>
        <v>0.19811320754716982</v>
      </c>
      <c r="X46" s="61">
        <f t="shared" si="16"/>
        <v>51</v>
      </c>
      <c r="Y46" s="61">
        <v>2</v>
      </c>
      <c r="Z46" s="61">
        <v>14</v>
      </c>
      <c r="AA46" s="61">
        <v>31</v>
      </c>
      <c r="AB46" s="61">
        <v>4</v>
      </c>
      <c r="AC46" s="61"/>
      <c r="AD46" s="61"/>
      <c r="AE46" s="49">
        <f t="shared" si="17"/>
        <v>34</v>
      </c>
      <c r="AF46" s="39">
        <v>2</v>
      </c>
      <c r="AG46" s="39"/>
      <c r="AH46" s="39"/>
      <c r="AI46" s="39"/>
      <c r="AJ46" s="39"/>
      <c r="AK46" s="39"/>
      <c r="AL46" s="39"/>
      <c r="AM46" s="39"/>
      <c r="AN46" s="39"/>
      <c r="AO46" s="39"/>
      <c r="AP46" s="39">
        <v>3</v>
      </c>
      <c r="AQ46" s="39">
        <v>1</v>
      </c>
      <c r="AR46" s="39"/>
      <c r="AS46" s="39">
        <v>1</v>
      </c>
      <c r="AT46" s="39"/>
      <c r="AU46" s="39"/>
      <c r="AV46" s="39"/>
      <c r="AW46" s="39"/>
      <c r="AX46" s="39"/>
      <c r="AY46" s="39">
        <v>19</v>
      </c>
      <c r="AZ46" s="39">
        <v>3</v>
      </c>
      <c r="BA46" s="39">
        <v>1</v>
      </c>
      <c r="BB46" s="39"/>
      <c r="BC46" s="39">
        <v>4</v>
      </c>
      <c r="BD46" s="39"/>
      <c r="BE46" s="49">
        <f t="shared" si="18"/>
        <v>55</v>
      </c>
    </row>
    <row r="47" spans="1:57" ht="15" customHeight="1" x14ac:dyDescent="0.2">
      <c r="A47" s="36">
        <v>36</v>
      </c>
      <c r="B47" s="59" t="s">
        <v>408</v>
      </c>
      <c r="C47" s="38" t="s">
        <v>212</v>
      </c>
      <c r="D47" s="38">
        <f>VLOOKUP(C47,Planilha1!$J$2:$L$206,3,)</f>
        <v>3</v>
      </c>
      <c r="E47" s="39" t="s">
        <v>213</v>
      </c>
      <c r="F47" s="40">
        <v>68365</v>
      </c>
      <c r="G47" s="49">
        <v>18</v>
      </c>
      <c r="H47" s="60">
        <f t="shared" si="11"/>
        <v>70</v>
      </c>
      <c r="I47" s="49">
        <f t="shared" si="12"/>
        <v>3</v>
      </c>
      <c r="J47" s="39"/>
      <c r="K47" s="39"/>
      <c r="L47" s="39"/>
      <c r="M47" s="39"/>
      <c r="N47" s="39"/>
      <c r="O47" s="39"/>
      <c r="P47" s="39">
        <v>2</v>
      </c>
      <c r="Q47" s="39">
        <v>1</v>
      </c>
      <c r="R47" s="39"/>
      <c r="S47" s="39"/>
      <c r="T47" s="39"/>
      <c r="U47" s="49">
        <f t="shared" si="13"/>
        <v>67</v>
      </c>
      <c r="V47" s="29">
        <f t="shared" si="14"/>
        <v>0.95714285714285718</v>
      </c>
      <c r="W47" s="29">
        <f t="shared" si="15"/>
        <v>4.2857142857142858E-2</v>
      </c>
      <c r="X47" s="61">
        <f t="shared" si="16"/>
        <v>44</v>
      </c>
      <c r="Y47" s="61">
        <v>1</v>
      </c>
      <c r="Z47" s="61">
        <v>32</v>
      </c>
      <c r="AA47" s="61">
        <v>10</v>
      </c>
      <c r="AB47" s="61">
        <v>1</v>
      </c>
      <c r="AC47" s="61"/>
      <c r="AD47" s="61"/>
      <c r="AE47" s="49">
        <f t="shared" si="17"/>
        <v>23</v>
      </c>
      <c r="AF47" s="39"/>
      <c r="AG47" s="39"/>
      <c r="AH47" s="39"/>
      <c r="AI47" s="39"/>
      <c r="AJ47" s="39"/>
      <c r="AK47" s="39"/>
      <c r="AL47" s="39"/>
      <c r="AM47" s="39">
        <v>1</v>
      </c>
      <c r="AN47" s="39"/>
      <c r="AO47" s="39"/>
      <c r="AP47" s="39"/>
      <c r="AQ47" s="39"/>
      <c r="AR47" s="39"/>
      <c r="AS47" s="39"/>
      <c r="AT47" s="39">
        <v>1</v>
      </c>
      <c r="AU47" s="39"/>
      <c r="AV47" s="39"/>
      <c r="AW47" s="39"/>
      <c r="AX47" s="39"/>
      <c r="AY47" s="39">
        <v>17</v>
      </c>
      <c r="AZ47" s="39"/>
      <c r="BA47" s="39"/>
      <c r="BB47" s="39"/>
      <c r="BC47" s="39">
        <v>4</v>
      </c>
      <c r="BD47" s="39"/>
      <c r="BE47" s="49">
        <f t="shared" si="18"/>
        <v>26</v>
      </c>
    </row>
    <row r="48" spans="1:57" ht="15" customHeight="1" x14ac:dyDescent="0.2">
      <c r="A48" s="36">
        <v>37</v>
      </c>
      <c r="B48" s="59" t="s">
        <v>408</v>
      </c>
      <c r="C48" s="38" t="s">
        <v>214</v>
      </c>
      <c r="D48" s="38">
        <f>VLOOKUP(C48,Planilha1!$J$2:$L$206,3,)</f>
        <v>3</v>
      </c>
      <c r="E48" s="39" t="s">
        <v>213</v>
      </c>
      <c r="F48" s="40">
        <v>87572</v>
      </c>
      <c r="G48" s="49">
        <v>18</v>
      </c>
      <c r="H48" s="60">
        <f t="shared" si="11"/>
        <v>139</v>
      </c>
      <c r="I48" s="49">
        <f t="shared" si="12"/>
        <v>14</v>
      </c>
      <c r="J48" s="39"/>
      <c r="K48" s="39"/>
      <c r="L48" s="39"/>
      <c r="M48" s="39">
        <v>1</v>
      </c>
      <c r="N48" s="39"/>
      <c r="O48" s="39"/>
      <c r="P48" s="39">
        <v>3</v>
      </c>
      <c r="Q48" s="39">
        <v>5</v>
      </c>
      <c r="R48" s="39"/>
      <c r="S48" s="39">
        <v>5</v>
      </c>
      <c r="T48" s="39"/>
      <c r="U48" s="49">
        <f t="shared" si="13"/>
        <v>125</v>
      </c>
      <c r="V48" s="29">
        <f t="shared" si="14"/>
        <v>0.89928057553956831</v>
      </c>
      <c r="W48" s="29">
        <f t="shared" si="15"/>
        <v>0.10071942446043165</v>
      </c>
      <c r="X48" s="61">
        <f t="shared" si="16"/>
        <v>92</v>
      </c>
      <c r="Y48" s="61"/>
      <c r="Z48" s="61">
        <v>55</v>
      </c>
      <c r="AA48" s="61">
        <v>30</v>
      </c>
      <c r="AB48" s="61">
        <v>7</v>
      </c>
      <c r="AC48" s="61"/>
      <c r="AD48" s="61"/>
      <c r="AE48" s="49">
        <f t="shared" si="17"/>
        <v>33</v>
      </c>
      <c r="AF48" s="39"/>
      <c r="AG48" s="39"/>
      <c r="AH48" s="39"/>
      <c r="AI48" s="39"/>
      <c r="AJ48" s="39">
        <v>1</v>
      </c>
      <c r="AK48" s="39"/>
      <c r="AL48" s="39"/>
      <c r="AM48" s="39">
        <v>3</v>
      </c>
      <c r="AN48" s="39"/>
      <c r="AO48" s="39"/>
      <c r="AP48" s="39"/>
      <c r="AQ48" s="39">
        <v>2</v>
      </c>
      <c r="AR48" s="39"/>
      <c r="AS48" s="39">
        <v>1</v>
      </c>
      <c r="AT48" s="39">
        <v>5</v>
      </c>
      <c r="AU48" s="39"/>
      <c r="AV48" s="39"/>
      <c r="AW48" s="39"/>
      <c r="AX48" s="39"/>
      <c r="AY48" s="39">
        <v>13</v>
      </c>
      <c r="AZ48" s="39">
        <v>1</v>
      </c>
      <c r="BA48" s="39">
        <v>1</v>
      </c>
      <c r="BB48" s="39"/>
      <c r="BC48" s="39">
        <v>6</v>
      </c>
      <c r="BD48" s="39"/>
      <c r="BE48" s="49">
        <f t="shared" si="18"/>
        <v>47</v>
      </c>
    </row>
    <row r="49" spans="1:57" ht="15" customHeight="1" x14ac:dyDescent="0.2">
      <c r="A49" s="36">
        <v>38</v>
      </c>
      <c r="B49" s="59" t="s">
        <v>408</v>
      </c>
      <c r="C49" s="38" t="s">
        <v>215</v>
      </c>
      <c r="D49" s="38">
        <f>VLOOKUP(C49,Planilha1!$J$2:$L$206,3,)</f>
        <v>3</v>
      </c>
      <c r="E49" s="39" t="s">
        <v>213</v>
      </c>
      <c r="F49" s="40">
        <v>36564</v>
      </c>
      <c r="G49" s="49">
        <v>18</v>
      </c>
      <c r="H49" s="60">
        <f t="shared" si="11"/>
        <v>109</v>
      </c>
      <c r="I49" s="49">
        <f t="shared" si="12"/>
        <v>25</v>
      </c>
      <c r="J49" s="39"/>
      <c r="K49" s="39">
        <v>16</v>
      </c>
      <c r="L49" s="39"/>
      <c r="M49" s="39"/>
      <c r="N49" s="39"/>
      <c r="O49" s="39"/>
      <c r="P49" s="39">
        <v>2</v>
      </c>
      <c r="Q49" s="39"/>
      <c r="R49" s="39"/>
      <c r="S49" s="39">
        <v>5</v>
      </c>
      <c r="T49" s="39">
        <v>2</v>
      </c>
      <c r="U49" s="49">
        <f t="shared" si="13"/>
        <v>84</v>
      </c>
      <c r="V49" s="29">
        <f t="shared" si="14"/>
        <v>0.77064220183486243</v>
      </c>
      <c r="W49" s="29">
        <f t="shared" si="15"/>
        <v>0.22935779816513763</v>
      </c>
      <c r="X49" s="61">
        <f t="shared" si="16"/>
        <v>47</v>
      </c>
      <c r="Y49" s="61">
        <v>3</v>
      </c>
      <c r="Z49" s="61">
        <v>38</v>
      </c>
      <c r="AA49" s="61">
        <v>5</v>
      </c>
      <c r="AB49" s="61">
        <v>1</v>
      </c>
      <c r="AC49" s="61"/>
      <c r="AD49" s="61"/>
      <c r="AE49" s="49">
        <f t="shared" si="17"/>
        <v>37</v>
      </c>
      <c r="AF49" s="39"/>
      <c r="AG49" s="39">
        <v>1</v>
      </c>
      <c r="AH49" s="39"/>
      <c r="AI49" s="39"/>
      <c r="AJ49" s="39"/>
      <c r="AK49" s="39"/>
      <c r="AL49" s="39"/>
      <c r="AM49" s="39">
        <v>3</v>
      </c>
      <c r="AN49" s="39"/>
      <c r="AO49" s="39">
        <v>1</v>
      </c>
      <c r="AP49" s="39">
        <v>8</v>
      </c>
      <c r="AQ49" s="39"/>
      <c r="AR49" s="39"/>
      <c r="AS49" s="39">
        <v>1</v>
      </c>
      <c r="AT49" s="39">
        <v>2</v>
      </c>
      <c r="AU49" s="39"/>
      <c r="AV49" s="39"/>
      <c r="AW49" s="39"/>
      <c r="AX49" s="39"/>
      <c r="AY49" s="39">
        <v>15</v>
      </c>
      <c r="AZ49" s="39">
        <v>1</v>
      </c>
      <c r="BA49" s="39">
        <v>1</v>
      </c>
      <c r="BB49" s="39"/>
      <c r="BC49" s="39">
        <v>4</v>
      </c>
      <c r="BD49" s="39"/>
      <c r="BE49" s="49">
        <f t="shared" si="18"/>
        <v>62</v>
      </c>
    </row>
    <row r="50" spans="1:57" ht="15" customHeight="1" x14ac:dyDescent="0.2">
      <c r="A50" s="36">
        <v>39</v>
      </c>
      <c r="B50" s="59" t="s">
        <v>78</v>
      </c>
      <c r="C50" s="38" t="s">
        <v>75</v>
      </c>
      <c r="D50" s="38">
        <f>VLOOKUP(C50,Planilha1!$J$2:$L$206,3,)</f>
        <v>3</v>
      </c>
      <c r="E50" s="39" t="s">
        <v>72</v>
      </c>
      <c r="F50" s="40">
        <v>81507</v>
      </c>
      <c r="G50" s="49">
        <v>27</v>
      </c>
      <c r="H50" s="60">
        <f t="shared" si="11"/>
        <v>1574</v>
      </c>
      <c r="I50" s="49">
        <f t="shared" si="12"/>
        <v>51</v>
      </c>
      <c r="J50" s="39"/>
      <c r="K50" s="39"/>
      <c r="L50" s="39"/>
      <c r="M50" s="39"/>
      <c r="N50" s="39"/>
      <c r="O50" s="39">
        <v>12</v>
      </c>
      <c r="P50" s="39">
        <v>5</v>
      </c>
      <c r="Q50" s="39">
        <v>28</v>
      </c>
      <c r="R50" s="39">
        <v>6</v>
      </c>
      <c r="S50" s="39"/>
      <c r="T50" s="39"/>
      <c r="U50" s="49">
        <f t="shared" si="13"/>
        <v>1523</v>
      </c>
      <c r="V50" s="29">
        <f t="shared" si="14"/>
        <v>0.96759847522236342</v>
      </c>
      <c r="W50" s="29">
        <f t="shared" si="15"/>
        <v>3.2401524777636595E-2</v>
      </c>
      <c r="X50" s="61">
        <f t="shared" si="16"/>
        <v>100</v>
      </c>
      <c r="Y50" s="61">
        <v>45</v>
      </c>
      <c r="Z50" s="61"/>
      <c r="AA50" s="61">
        <v>43</v>
      </c>
      <c r="AB50" s="61">
        <v>9</v>
      </c>
      <c r="AC50" s="61">
        <v>3</v>
      </c>
      <c r="AD50" s="61"/>
      <c r="AE50" s="49">
        <f t="shared" si="17"/>
        <v>1423</v>
      </c>
      <c r="AF50" s="39"/>
      <c r="AG50" s="39">
        <v>2</v>
      </c>
      <c r="AH50" s="39"/>
      <c r="AI50" s="39"/>
      <c r="AJ50" s="39"/>
      <c r="AK50" s="39"/>
      <c r="AL50" s="39">
        <v>3</v>
      </c>
      <c r="AM50" s="39">
        <v>1</v>
      </c>
      <c r="AN50" s="39"/>
      <c r="AO50" s="39">
        <v>1</v>
      </c>
      <c r="AP50" s="39"/>
      <c r="AQ50" s="39">
        <v>2</v>
      </c>
      <c r="AR50" s="39"/>
      <c r="AS50" s="39">
        <v>4</v>
      </c>
      <c r="AT50" s="39">
        <v>10</v>
      </c>
      <c r="AU50" s="39"/>
      <c r="AV50" s="39"/>
      <c r="AW50" s="39">
        <v>1333</v>
      </c>
      <c r="AX50" s="39">
        <v>3</v>
      </c>
      <c r="AY50" s="39">
        <v>18</v>
      </c>
      <c r="AZ50" s="39">
        <v>29</v>
      </c>
      <c r="BA50" s="39">
        <v>3</v>
      </c>
      <c r="BB50" s="39">
        <v>1</v>
      </c>
      <c r="BC50" s="39">
        <v>11</v>
      </c>
      <c r="BD50" s="39">
        <v>2</v>
      </c>
      <c r="BE50" s="49">
        <f t="shared" si="18"/>
        <v>1474</v>
      </c>
    </row>
    <row r="51" spans="1:57" ht="15" customHeight="1" x14ac:dyDescent="0.2">
      <c r="A51" s="36">
        <v>40</v>
      </c>
      <c r="B51" s="59" t="s">
        <v>78</v>
      </c>
      <c r="C51" s="38" t="s">
        <v>76</v>
      </c>
      <c r="D51" s="38">
        <f>VLOOKUP(C51,Planilha1!$J$2:$L$206,3,)</f>
        <v>3</v>
      </c>
      <c r="E51" s="39" t="s">
        <v>72</v>
      </c>
      <c r="F51" s="40">
        <v>79432</v>
      </c>
      <c r="G51" s="49">
        <v>18</v>
      </c>
      <c r="H51" s="60">
        <f t="shared" si="11"/>
        <v>358</v>
      </c>
      <c r="I51" s="49">
        <f t="shared" si="12"/>
        <v>45</v>
      </c>
      <c r="J51" s="39"/>
      <c r="K51" s="39"/>
      <c r="L51" s="39"/>
      <c r="M51" s="39">
        <v>1</v>
      </c>
      <c r="N51" s="39"/>
      <c r="O51" s="39"/>
      <c r="P51" s="39">
        <v>36</v>
      </c>
      <c r="Q51" s="39">
        <v>8</v>
      </c>
      <c r="R51" s="39"/>
      <c r="S51" s="39"/>
      <c r="T51" s="39"/>
      <c r="U51" s="49">
        <f t="shared" si="13"/>
        <v>313</v>
      </c>
      <c r="V51" s="29">
        <f t="shared" si="14"/>
        <v>0.87430167597765363</v>
      </c>
      <c r="W51" s="29">
        <f t="shared" si="15"/>
        <v>0.12569832402234637</v>
      </c>
      <c r="X51" s="61">
        <f t="shared" si="16"/>
        <v>169</v>
      </c>
      <c r="Y51" s="61">
        <v>169</v>
      </c>
      <c r="Z51" s="61"/>
      <c r="AA51" s="61"/>
      <c r="AB51" s="61"/>
      <c r="AC51" s="61"/>
      <c r="AD51" s="61"/>
      <c r="AE51" s="49">
        <f t="shared" si="17"/>
        <v>144</v>
      </c>
      <c r="AF51" s="39"/>
      <c r="AG51" s="39"/>
      <c r="AH51" s="39"/>
      <c r="AI51" s="39"/>
      <c r="AJ51" s="39"/>
      <c r="AK51" s="39"/>
      <c r="AL51" s="39"/>
      <c r="AM51" s="39">
        <v>3</v>
      </c>
      <c r="AN51" s="39"/>
      <c r="AO51" s="39"/>
      <c r="AP51" s="39"/>
      <c r="AQ51" s="39"/>
      <c r="AR51" s="39"/>
      <c r="AS51" s="39">
        <v>4</v>
      </c>
      <c r="AT51" s="39"/>
      <c r="AU51" s="39"/>
      <c r="AV51" s="39"/>
      <c r="AW51" s="39">
        <v>127</v>
      </c>
      <c r="AX51" s="39">
        <v>2</v>
      </c>
      <c r="AY51" s="39">
        <v>3</v>
      </c>
      <c r="AZ51" s="39">
        <v>1</v>
      </c>
      <c r="BA51" s="39"/>
      <c r="BB51" s="39"/>
      <c r="BC51" s="39">
        <v>2</v>
      </c>
      <c r="BD51" s="39">
        <v>2</v>
      </c>
      <c r="BE51" s="49">
        <f t="shared" si="18"/>
        <v>189</v>
      </c>
    </row>
    <row r="52" spans="1:57" ht="15" hidden="1" customHeight="1" x14ac:dyDescent="0.2">
      <c r="A52" s="36">
        <v>41</v>
      </c>
      <c r="B52" s="59"/>
      <c r="C52" s="38"/>
      <c r="D52" s="38" t="e">
        <f>VLOOKUP(C52,Planilha1!$J$2:$L$206,3,)</f>
        <v>#N/A</v>
      </c>
      <c r="E52" s="39"/>
      <c r="F52" s="40"/>
      <c r="G52" s="49"/>
      <c r="H52" s="60">
        <f t="shared" si="11"/>
        <v>0</v>
      </c>
      <c r="I52" s="49">
        <f t="shared" si="12"/>
        <v>0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49">
        <f t="shared" si="13"/>
        <v>0</v>
      </c>
      <c r="V52" s="29">
        <f t="shared" si="14"/>
        <v>0</v>
      </c>
      <c r="W52" s="29">
        <f t="shared" si="15"/>
        <v>0</v>
      </c>
      <c r="X52" s="61">
        <f t="shared" si="16"/>
        <v>0</v>
      </c>
      <c r="Y52" s="61"/>
      <c r="Z52" s="61"/>
      <c r="AA52" s="61"/>
      <c r="AB52" s="61"/>
      <c r="AC52" s="61"/>
      <c r="AD52" s="61"/>
      <c r="AE52" s="49">
        <f t="shared" si="17"/>
        <v>0</v>
      </c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49">
        <f t="shared" si="18"/>
        <v>0</v>
      </c>
    </row>
    <row r="53" spans="1:57" ht="15" hidden="1" customHeight="1" x14ac:dyDescent="0.2">
      <c r="A53" s="36">
        <v>42</v>
      </c>
      <c r="B53" s="59"/>
      <c r="C53" s="38"/>
      <c r="D53" s="38" t="e">
        <f>VLOOKUP(C53,Planilha1!$J$2:$L$206,3,)</f>
        <v>#N/A</v>
      </c>
      <c r="E53" s="39"/>
      <c r="F53" s="40"/>
      <c r="G53" s="49"/>
      <c r="H53" s="60">
        <f t="shared" si="11"/>
        <v>0</v>
      </c>
      <c r="I53" s="49">
        <f t="shared" si="12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49">
        <f t="shared" si="13"/>
        <v>0</v>
      </c>
      <c r="V53" s="29">
        <f t="shared" si="14"/>
        <v>0</v>
      </c>
      <c r="W53" s="29">
        <f t="shared" si="15"/>
        <v>0</v>
      </c>
      <c r="X53" s="61">
        <f t="shared" si="16"/>
        <v>0</v>
      </c>
      <c r="Y53" s="61"/>
      <c r="Z53" s="61"/>
      <c r="AA53" s="61"/>
      <c r="AB53" s="61"/>
      <c r="AC53" s="61"/>
      <c r="AD53" s="61"/>
      <c r="AE53" s="49">
        <f t="shared" si="17"/>
        <v>0</v>
      </c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49">
        <f t="shared" si="18"/>
        <v>0</v>
      </c>
    </row>
    <row r="54" spans="1:57" ht="15" hidden="1" customHeight="1" x14ac:dyDescent="0.2">
      <c r="A54" s="36">
        <v>43</v>
      </c>
      <c r="B54" s="59"/>
      <c r="C54" s="38"/>
      <c r="D54" s="38" t="e">
        <f>VLOOKUP(C54,Planilha1!$J$2:$L$206,3,)</f>
        <v>#N/A</v>
      </c>
      <c r="E54" s="39"/>
      <c r="F54" s="40"/>
      <c r="G54" s="49"/>
      <c r="H54" s="60">
        <f t="shared" si="11"/>
        <v>0</v>
      </c>
      <c r="I54" s="49">
        <f t="shared" si="12"/>
        <v>0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49">
        <f t="shared" si="13"/>
        <v>0</v>
      </c>
      <c r="V54" s="29">
        <f t="shared" si="14"/>
        <v>0</v>
      </c>
      <c r="W54" s="29">
        <f t="shared" si="15"/>
        <v>0</v>
      </c>
      <c r="X54" s="61">
        <f t="shared" si="16"/>
        <v>0</v>
      </c>
      <c r="Y54" s="61"/>
      <c r="Z54" s="61"/>
      <c r="AA54" s="61"/>
      <c r="AB54" s="61"/>
      <c r="AC54" s="61"/>
      <c r="AD54" s="61"/>
      <c r="AE54" s="49">
        <f t="shared" si="17"/>
        <v>0</v>
      </c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49">
        <f t="shared" si="18"/>
        <v>0</v>
      </c>
    </row>
    <row r="55" spans="1:57" ht="15" hidden="1" customHeight="1" x14ac:dyDescent="0.2">
      <c r="A55" s="36">
        <v>44</v>
      </c>
      <c r="B55" s="59"/>
      <c r="C55" s="38"/>
      <c r="D55" s="38" t="e">
        <f>VLOOKUP(C55,Planilha1!$J$2:$L$206,3,)</f>
        <v>#N/A</v>
      </c>
      <c r="E55" s="39"/>
      <c r="F55" s="40"/>
      <c r="G55" s="49"/>
      <c r="H55" s="60">
        <f t="shared" si="11"/>
        <v>0</v>
      </c>
      <c r="I55" s="49">
        <f t="shared" si="12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49">
        <f t="shared" si="13"/>
        <v>0</v>
      </c>
      <c r="V55" s="29">
        <f t="shared" si="14"/>
        <v>0</v>
      </c>
      <c r="W55" s="29">
        <f t="shared" si="15"/>
        <v>0</v>
      </c>
      <c r="X55" s="61">
        <f t="shared" si="16"/>
        <v>0</v>
      </c>
      <c r="Y55" s="61"/>
      <c r="Z55" s="61"/>
      <c r="AA55" s="61"/>
      <c r="AB55" s="61"/>
      <c r="AC55" s="61"/>
      <c r="AD55" s="61"/>
      <c r="AE55" s="49">
        <f t="shared" si="17"/>
        <v>0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49">
        <f t="shared" si="18"/>
        <v>0</v>
      </c>
    </row>
    <row r="56" spans="1:57" ht="15" hidden="1" customHeight="1" x14ac:dyDescent="0.2">
      <c r="A56" s="36">
        <v>45</v>
      </c>
      <c r="B56" s="59"/>
      <c r="C56" s="38"/>
      <c r="D56" s="38" t="e">
        <f>VLOOKUP(C56,Planilha1!$J$2:$L$206,3,)</f>
        <v>#N/A</v>
      </c>
      <c r="E56" s="39"/>
      <c r="F56" s="40"/>
      <c r="G56" s="49"/>
      <c r="H56" s="60">
        <f t="shared" si="11"/>
        <v>0</v>
      </c>
      <c r="I56" s="49">
        <f t="shared" si="12"/>
        <v>0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49">
        <f t="shared" si="13"/>
        <v>0</v>
      </c>
      <c r="V56" s="29">
        <f t="shared" si="14"/>
        <v>0</v>
      </c>
      <c r="W56" s="29">
        <f t="shared" si="15"/>
        <v>0</v>
      </c>
      <c r="X56" s="61">
        <f t="shared" si="16"/>
        <v>0</v>
      </c>
      <c r="Y56" s="61"/>
      <c r="Z56" s="61"/>
      <c r="AA56" s="61"/>
      <c r="AB56" s="61"/>
      <c r="AC56" s="61"/>
      <c r="AD56" s="61"/>
      <c r="AE56" s="49">
        <f t="shared" si="17"/>
        <v>0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49">
        <f t="shared" si="18"/>
        <v>0</v>
      </c>
    </row>
    <row r="57" spans="1:57" ht="15" hidden="1" customHeight="1" x14ac:dyDescent="0.2">
      <c r="A57" s="36">
        <v>46</v>
      </c>
      <c r="B57" s="59"/>
      <c r="C57" s="38"/>
      <c r="D57" s="38" t="e">
        <f>VLOOKUP(C57,Planilha1!$J$2:$L$206,3,)</f>
        <v>#N/A</v>
      </c>
      <c r="E57" s="39"/>
      <c r="F57" s="40"/>
      <c r="G57" s="49"/>
      <c r="H57" s="60">
        <f t="shared" si="11"/>
        <v>0</v>
      </c>
      <c r="I57" s="49">
        <f t="shared" si="12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49">
        <f t="shared" si="13"/>
        <v>0</v>
      </c>
      <c r="V57" s="29">
        <f t="shared" si="14"/>
        <v>0</v>
      </c>
      <c r="W57" s="29">
        <f t="shared" si="15"/>
        <v>0</v>
      </c>
      <c r="X57" s="61">
        <f t="shared" si="16"/>
        <v>0</v>
      </c>
      <c r="Y57" s="61"/>
      <c r="Z57" s="61"/>
      <c r="AA57" s="61"/>
      <c r="AB57" s="61"/>
      <c r="AC57" s="61"/>
      <c r="AD57" s="61"/>
      <c r="AE57" s="49">
        <f t="shared" si="17"/>
        <v>0</v>
      </c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49">
        <f t="shared" si="18"/>
        <v>0</v>
      </c>
    </row>
    <row r="58" spans="1:57" ht="15" hidden="1" customHeight="1" x14ac:dyDescent="0.2">
      <c r="A58" s="36">
        <v>47</v>
      </c>
      <c r="B58" s="59"/>
      <c r="C58" s="38"/>
      <c r="D58" s="38" t="e">
        <f>VLOOKUP(C58,Planilha1!$J$2:$L$206,3,)</f>
        <v>#N/A</v>
      </c>
      <c r="E58" s="39"/>
      <c r="F58" s="40"/>
      <c r="G58" s="49"/>
      <c r="H58" s="60">
        <f t="shared" si="11"/>
        <v>0</v>
      </c>
      <c r="I58" s="49">
        <f t="shared" si="12"/>
        <v>0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49">
        <f t="shared" si="13"/>
        <v>0</v>
      </c>
      <c r="V58" s="29">
        <f t="shared" si="14"/>
        <v>0</v>
      </c>
      <c r="W58" s="29">
        <f t="shared" si="15"/>
        <v>0</v>
      </c>
      <c r="X58" s="61">
        <f t="shared" si="16"/>
        <v>0</v>
      </c>
      <c r="Y58" s="61"/>
      <c r="Z58" s="61"/>
      <c r="AA58" s="61"/>
      <c r="AB58" s="61"/>
      <c r="AC58" s="61"/>
      <c r="AD58" s="61"/>
      <c r="AE58" s="49">
        <f t="shared" si="17"/>
        <v>0</v>
      </c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49">
        <f t="shared" si="18"/>
        <v>0</v>
      </c>
    </row>
    <row r="59" spans="1:57" ht="15" hidden="1" customHeight="1" x14ac:dyDescent="0.2">
      <c r="A59" s="36">
        <v>48</v>
      </c>
      <c r="B59" s="59"/>
      <c r="C59" s="38"/>
      <c r="D59" s="38" t="e">
        <f>VLOOKUP(C59,Planilha1!$J$2:$L$206,3,)</f>
        <v>#N/A</v>
      </c>
      <c r="E59" s="39"/>
      <c r="F59" s="40"/>
      <c r="G59" s="49"/>
      <c r="H59" s="60">
        <f t="shared" si="11"/>
        <v>0</v>
      </c>
      <c r="I59" s="49">
        <f t="shared" si="12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9">
        <f t="shared" si="13"/>
        <v>0</v>
      </c>
      <c r="V59" s="29">
        <f t="shared" si="14"/>
        <v>0</v>
      </c>
      <c r="W59" s="29">
        <f t="shared" si="15"/>
        <v>0</v>
      </c>
      <c r="X59" s="61">
        <f t="shared" si="16"/>
        <v>0</v>
      </c>
      <c r="Y59" s="61"/>
      <c r="Z59" s="61"/>
      <c r="AA59" s="61"/>
      <c r="AB59" s="61"/>
      <c r="AC59" s="61"/>
      <c r="AD59" s="61"/>
      <c r="AE59" s="49">
        <f t="shared" si="17"/>
        <v>0</v>
      </c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49">
        <f t="shared" si="18"/>
        <v>0</v>
      </c>
    </row>
    <row r="60" spans="1:57" ht="15" hidden="1" customHeight="1" x14ac:dyDescent="0.2">
      <c r="A60" s="36">
        <v>49</v>
      </c>
      <c r="B60" s="59"/>
      <c r="C60" s="38"/>
      <c r="D60" s="38" t="e">
        <f>VLOOKUP(C60,Planilha1!$J$2:$L$206,3,)</f>
        <v>#N/A</v>
      </c>
      <c r="E60" s="39"/>
      <c r="F60" s="40"/>
      <c r="G60" s="49"/>
      <c r="H60" s="60">
        <f t="shared" si="11"/>
        <v>0</v>
      </c>
      <c r="I60" s="49">
        <f t="shared" si="12"/>
        <v>0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49">
        <f t="shared" si="13"/>
        <v>0</v>
      </c>
      <c r="V60" s="29">
        <f t="shared" si="14"/>
        <v>0</v>
      </c>
      <c r="W60" s="29">
        <f t="shared" si="15"/>
        <v>0</v>
      </c>
      <c r="X60" s="61">
        <f t="shared" si="16"/>
        <v>0</v>
      </c>
      <c r="Y60" s="61"/>
      <c r="Z60" s="61"/>
      <c r="AA60" s="61"/>
      <c r="AB60" s="61"/>
      <c r="AC60" s="61"/>
      <c r="AD60" s="61"/>
      <c r="AE60" s="49">
        <f t="shared" si="17"/>
        <v>0</v>
      </c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49">
        <f t="shared" si="18"/>
        <v>0</v>
      </c>
    </row>
    <row r="61" spans="1:57" ht="15" hidden="1" customHeight="1" x14ac:dyDescent="0.2">
      <c r="A61" s="36">
        <v>50</v>
      </c>
      <c r="B61" s="59"/>
      <c r="C61" s="38"/>
      <c r="D61" s="38" t="e">
        <f>VLOOKUP(C61,Planilha1!$J$2:$L$206,3,)</f>
        <v>#N/A</v>
      </c>
      <c r="E61" s="39"/>
      <c r="F61" s="40"/>
      <c r="G61" s="49"/>
      <c r="H61" s="60">
        <f t="shared" si="11"/>
        <v>0</v>
      </c>
      <c r="I61" s="49">
        <f t="shared" si="12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49">
        <f t="shared" si="13"/>
        <v>0</v>
      </c>
      <c r="V61" s="29">
        <f t="shared" si="14"/>
        <v>0</v>
      </c>
      <c r="W61" s="29">
        <f t="shared" si="15"/>
        <v>0</v>
      </c>
      <c r="X61" s="61">
        <f t="shared" si="16"/>
        <v>0</v>
      </c>
      <c r="Y61" s="61"/>
      <c r="Z61" s="61"/>
      <c r="AA61" s="61"/>
      <c r="AB61" s="61"/>
      <c r="AC61" s="61"/>
      <c r="AD61" s="61"/>
      <c r="AE61" s="49">
        <f t="shared" si="17"/>
        <v>0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49">
        <f t="shared" si="18"/>
        <v>0</v>
      </c>
    </row>
    <row r="62" spans="1:57" ht="15" hidden="1" customHeight="1" x14ac:dyDescent="0.2">
      <c r="A62" s="36">
        <v>51</v>
      </c>
      <c r="B62" s="59"/>
      <c r="C62" s="38"/>
      <c r="D62" s="38" t="e">
        <f>VLOOKUP(C62,Planilha1!$J$2:$L$206,3,)</f>
        <v>#N/A</v>
      </c>
      <c r="E62" s="39"/>
      <c r="F62" s="40"/>
      <c r="G62" s="49"/>
      <c r="H62" s="60">
        <f t="shared" si="11"/>
        <v>0</v>
      </c>
      <c r="I62" s="49">
        <f t="shared" si="12"/>
        <v>0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49">
        <f t="shared" si="13"/>
        <v>0</v>
      </c>
      <c r="V62" s="29">
        <f t="shared" si="14"/>
        <v>0</v>
      </c>
      <c r="W62" s="29">
        <f t="shared" si="15"/>
        <v>0</v>
      </c>
      <c r="X62" s="61">
        <f t="shared" si="16"/>
        <v>0</v>
      </c>
      <c r="Y62" s="61"/>
      <c r="Z62" s="61"/>
      <c r="AA62" s="61"/>
      <c r="AB62" s="61"/>
      <c r="AC62" s="61"/>
      <c r="AD62" s="61"/>
      <c r="AE62" s="49">
        <f t="shared" si="17"/>
        <v>0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49">
        <f t="shared" si="18"/>
        <v>0</v>
      </c>
    </row>
    <row r="63" spans="1:57" ht="15" hidden="1" customHeight="1" x14ac:dyDescent="0.2">
      <c r="A63" s="36">
        <v>52</v>
      </c>
      <c r="B63" s="59"/>
      <c r="C63" s="38"/>
      <c r="D63" s="38" t="e">
        <f>VLOOKUP(C63,Planilha1!$J$2:$L$206,3,)</f>
        <v>#N/A</v>
      </c>
      <c r="E63" s="39"/>
      <c r="F63" s="40"/>
      <c r="G63" s="49"/>
      <c r="H63" s="60">
        <f t="shared" si="11"/>
        <v>0</v>
      </c>
      <c r="I63" s="49">
        <f t="shared" si="12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49">
        <f t="shared" si="13"/>
        <v>0</v>
      </c>
      <c r="V63" s="29">
        <f t="shared" si="14"/>
        <v>0</v>
      </c>
      <c r="W63" s="29">
        <f t="shared" si="15"/>
        <v>0</v>
      </c>
      <c r="X63" s="61">
        <f t="shared" si="16"/>
        <v>0</v>
      </c>
      <c r="Y63" s="61"/>
      <c r="Z63" s="61"/>
      <c r="AA63" s="61"/>
      <c r="AB63" s="61"/>
      <c r="AC63" s="61"/>
      <c r="AD63" s="61"/>
      <c r="AE63" s="49">
        <f t="shared" si="17"/>
        <v>0</v>
      </c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49">
        <f t="shared" si="18"/>
        <v>0</v>
      </c>
    </row>
    <row r="64" spans="1:57" ht="15" hidden="1" customHeight="1" x14ac:dyDescent="0.2">
      <c r="A64" s="36">
        <v>53</v>
      </c>
      <c r="B64" s="59"/>
      <c r="C64" s="38"/>
      <c r="D64" s="38" t="e">
        <f>VLOOKUP(C64,Planilha1!$J$2:$L$206,3,)</f>
        <v>#N/A</v>
      </c>
      <c r="E64" s="39"/>
      <c r="F64" s="40"/>
      <c r="G64" s="49"/>
      <c r="H64" s="60">
        <f t="shared" si="11"/>
        <v>0</v>
      </c>
      <c r="I64" s="49">
        <f t="shared" si="12"/>
        <v>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49">
        <f t="shared" si="13"/>
        <v>0</v>
      </c>
      <c r="V64" s="29">
        <f t="shared" si="14"/>
        <v>0</v>
      </c>
      <c r="W64" s="29">
        <f t="shared" si="15"/>
        <v>0</v>
      </c>
      <c r="X64" s="61">
        <f t="shared" si="16"/>
        <v>0</v>
      </c>
      <c r="Y64" s="61"/>
      <c r="Z64" s="61"/>
      <c r="AA64" s="61"/>
      <c r="AB64" s="61"/>
      <c r="AC64" s="61"/>
      <c r="AD64" s="61"/>
      <c r="AE64" s="49">
        <f t="shared" si="17"/>
        <v>0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49">
        <f t="shared" si="18"/>
        <v>0</v>
      </c>
    </row>
    <row r="65" spans="1:57" ht="15" hidden="1" customHeight="1" x14ac:dyDescent="0.2">
      <c r="A65" s="36">
        <v>54</v>
      </c>
      <c r="B65" s="59"/>
      <c r="C65" s="38"/>
      <c r="D65" s="38" t="e">
        <f>VLOOKUP(C65,Planilha1!$J$2:$L$206,3,)</f>
        <v>#N/A</v>
      </c>
      <c r="E65" s="39"/>
      <c r="F65" s="40"/>
      <c r="G65" s="49"/>
      <c r="H65" s="60">
        <f t="shared" si="11"/>
        <v>0</v>
      </c>
      <c r="I65" s="49">
        <f t="shared" si="12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49">
        <f t="shared" si="13"/>
        <v>0</v>
      </c>
      <c r="V65" s="29">
        <f t="shared" si="14"/>
        <v>0</v>
      </c>
      <c r="W65" s="29">
        <f t="shared" si="15"/>
        <v>0</v>
      </c>
      <c r="X65" s="61">
        <f t="shared" si="16"/>
        <v>0</v>
      </c>
      <c r="Y65" s="61"/>
      <c r="Z65" s="61"/>
      <c r="AA65" s="61"/>
      <c r="AB65" s="61"/>
      <c r="AC65" s="61"/>
      <c r="AD65" s="61"/>
      <c r="AE65" s="49">
        <f t="shared" si="17"/>
        <v>0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49">
        <f t="shared" si="18"/>
        <v>0</v>
      </c>
    </row>
    <row r="66" spans="1:57" ht="15" hidden="1" customHeight="1" x14ac:dyDescent="0.2">
      <c r="A66" s="36">
        <v>55</v>
      </c>
      <c r="B66" s="59"/>
      <c r="C66" s="38"/>
      <c r="D66" s="38" t="e">
        <f>VLOOKUP(C66,Planilha1!$J$2:$L$206,3,)</f>
        <v>#N/A</v>
      </c>
      <c r="E66" s="39"/>
      <c r="F66" s="40"/>
      <c r="G66" s="49"/>
      <c r="H66" s="60">
        <f t="shared" si="11"/>
        <v>0</v>
      </c>
      <c r="I66" s="49">
        <f t="shared" si="12"/>
        <v>0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49">
        <f t="shared" si="13"/>
        <v>0</v>
      </c>
      <c r="V66" s="29">
        <f t="shared" si="14"/>
        <v>0</v>
      </c>
      <c r="W66" s="29">
        <f t="shared" si="15"/>
        <v>0</v>
      </c>
      <c r="X66" s="61">
        <f t="shared" si="16"/>
        <v>0</v>
      </c>
      <c r="Y66" s="61"/>
      <c r="Z66" s="61"/>
      <c r="AA66" s="61"/>
      <c r="AB66" s="61"/>
      <c r="AC66" s="61"/>
      <c r="AD66" s="61"/>
      <c r="AE66" s="49">
        <f t="shared" si="17"/>
        <v>0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49">
        <f t="shared" si="18"/>
        <v>0</v>
      </c>
    </row>
    <row r="67" spans="1:57" ht="15" hidden="1" customHeight="1" x14ac:dyDescent="0.2">
      <c r="A67" s="36">
        <v>56</v>
      </c>
      <c r="B67" s="59"/>
      <c r="C67" s="38"/>
      <c r="D67" s="38" t="e">
        <f>VLOOKUP(C67,Planilha1!$J$2:$L$206,3,)</f>
        <v>#N/A</v>
      </c>
      <c r="E67" s="39"/>
      <c r="F67" s="40"/>
      <c r="G67" s="49"/>
      <c r="H67" s="60">
        <f t="shared" si="11"/>
        <v>0</v>
      </c>
      <c r="I67" s="49">
        <f t="shared" si="12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49">
        <f t="shared" si="13"/>
        <v>0</v>
      </c>
      <c r="V67" s="29">
        <f t="shared" si="14"/>
        <v>0</v>
      </c>
      <c r="W67" s="29">
        <f t="shared" si="15"/>
        <v>0</v>
      </c>
      <c r="X67" s="61">
        <f t="shared" si="16"/>
        <v>0</v>
      </c>
      <c r="Y67" s="61"/>
      <c r="Z67" s="61"/>
      <c r="AA67" s="61"/>
      <c r="AB67" s="61"/>
      <c r="AC67" s="61"/>
      <c r="AD67" s="61"/>
      <c r="AE67" s="49">
        <f t="shared" si="17"/>
        <v>0</v>
      </c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49">
        <f t="shared" si="18"/>
        <v>0</v>
      </c>
    </row>
    <row r="68" spans="1:57" ht="15" hidden="1" customHeight="1" x14ac:dyDescent="0.2">
      <c r="A68" s="36">
        <v>57</v>
      </c>
      <c r="B68" s="59"/>
      <c r="C68" s="38"/>
      <c r="D68" s="38" t="e">
        <f>VLOOKUP(C68,Planilha1!$J$2:$L$206,3,)</f>
        <v>#N/A</v>
      </c>
      <c r="E68" s="39"/>
      <c r="F68" s="40"/>
      <c r="G68" s="49"/>
      <c r="H68" s="60">
        <f t="shared" si="11"/>
        <v>0</v>
      </c>
      <c r="I68" s="49">
        <f t="shared" si="12"/>
        <v>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49">
        <f t="shared" si="13"/>
        <v>0</v>
      </c>
      <c r="V68" s="29">
        <f t="shared" si="14"/>
        <v>0</v>
      </c>
      <c r="W68" s="29">
        <f t="shared" si="15"/>
        <v>0</v>
      </c>
      <c r="X68" s="61">
        <f t="shared" si="16"/>
        <v>0</v>
      </c>
      <c r="Y68" s="61"/>
      <c r="Z68" s="61"/>
      <c r="AA68" s="61"/>
      <c r="AB68" s="61"/>
      <c r="AC68" s="61"/>
      <c r="AD68" s="61"/>
      <c r="AE68" s="49">
        <f t="shared" si="17"/>
        <v>0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49">
        <f t="shared" si="18"/>
        <v>0</v>
      </c>
    </row>
    <row r="69" spans="1:57" ht="15" hidden="1" customHeight="1" x14ac:dyDescent="0.2">
      <c r="A69" s="36">
        <v>58</v>
      </c>
      <c r="B69" s="59"/>
      <c r="C69" s="38"/>
      <c r="D69" s="38" t="e">
        <f>VLOOKUP(C69,Planilha1!$J$2:$L$206,3,)</f>
        <v>#N/A</v>
      </c>
      <c r="E69" s="39"/>
      <c r="F69" s="40"/>
      <c r="G69" s="49"/>
      <c r="H69" s="60">
        <f t="shared" si="11"/>
        <v>0</v>
      </c>
      <c r="I69" s="49">
        <f t="shared" si="12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49">
        <f t="shared" si="13"/>
        <v>0</v>
      </c>
      <c r="V69" s="29">
        <f t="shared" si="14"/>
        <v>0</v>
      </c>
      <c r="W69" s="29">
        <f t="shared" si="15"/>
        <v>0</v>
      </c>
      <c r="X69" s="61">
        <f t="shared" si="16"/>
        <v>0</v>
      </c>
      <c r="Y69" s="61"/>
      <c r="Z69" s="61"/>
      <c r="AA69" s="61"/>
      <c r="AB69" s="61"/>
      <c r="AC69" s="61"/>
      <c r="AD69" s="61"/>
      <c r="AE69" s="49">
        <f t="shared" si="17"/>
        <v>0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49">
        <f t="shared" si="18"/>
        <v>0</v>
      </c>
    </row>
    <row r="70" spans="1:57" ht="15" hidden="1" customHeight="1" x14ac:dyDescent="0.2">
      <c r="A70" s="36">
        <v>59</v>
      </c>
      <c r="B70" s="59"/>
      <c r="C70" s="38"/>
      <c r="D70" s="38" t="e">
        <f>VLOOKUP(C70,Planilha1!$J$2:$L$206,3,)</f>
        <v>#N/A</v>
      </c>
      <c r="E70" s="39"/>
      <c r="F70" s="40"/>
      <c r="G70" s="49"/>
      <c r="H70" s="60">
        <f t="shared" si="11"/>
        <v>0</v>
      </c>
      <c r="I70" s="49">
        <f t="shared" si="12"/>
        <v>0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49">
        <f t="shared" si="13"/>
        <v>0</v>
      </c>
      <c r="V70" s="29">
        <f t="shared" si="14"/>
        <v>0</v>
      </c>
      <c r="W70" s="29">
        <f t="shared" si="15"/>
        <v>0</v>
      </c>
      <c r="X70" s="61">
        <f t="shared" si="16"/>
        <v>0</v>
      </c>
      <c r="Y70" s="61"/>
      <c r="Z70" s="61"/>
      <c r="AA70" s="61"/>
      <c r="AB70" s="61"/>
      <c r="AC70" s="61"/>
      <c r="AD70" s="61"/>
      <c r="AE70" s="49">
        <f t="shared" si="17"/>
        <v>0</v>
      </c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49">
        <f t="shared" si="18"/>
        <v>0</v>
      </c>
    </row>
    <row r="71" spans="1:57" ht="15" hidden="1" customHeight="1" x14ac:dyDescent="0.2">
      <c r="A71" s="36">
        <v>60</v>
      </c>
      <c r="B71" s="59"/>
      <c r="C71" s="38"/>
      <c r="D71" s="38" t="e">
        <f>VLOOKUP(C71,Planilha1!$J$2:$L$206,3,)</f>
        <v>#N/A</v>
      </c>
      <c r="E71" s="39"/>
      <c r="F71" s="40"/>
      <c r="G71" s="49"/>
      <c r="H71" s="60">
        <f t="shared" si="11"/>
        <v>0</v>
      </c>
      <c r="I71" s="49">
        <f t="shared" si="12"/>
        <v>0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49">
        <f t="shared" si="13"/>
        <v>0</v>
      </c>
      <c r="V71" s="29">
        <f t="shared" si="14"/>
        <v>0</v>
      </c>
      <c r="W71" s="29">
        <f t="shared" si="15"/>
        <v>0</v>
      </c>
      <c r="X71" s="61">
        <f t="shared" si="16"/>
        <v>0</v>
      </c>
      <c r="Y71" s="61"/>
      <c r="Z71" s="61"/>
      <c r="AA71" s="61"/>
      <c r="AB71" s="61"/>
      <c r="AC71" s="61"/>
      <c r="AD71" s="61"/>
      <c r="AE71" s="49">
        <f t="shared" si="17"/>
        <v>0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49">
        <f t="shared" si="18"/>
        <v>0</v>
      </c>
    </row>
    <row r="72" spans="1:57" ht="15" hidden="1" customHeight="1" x14ac:dyDescent="0.2">
      <c r="A72" s="36">
        <v>61</v>
      </c>
      <c r="B72" s="59"/>
      <c r="C72" s="38"/>
      <c r="D72" s="38" t="e">
        <f>VLOOKUP(C72,Planilha1!$J$2:$L$206,3,)</f>
        <v>#N/A</v>
      </c>
      <c r="E72" s="39"/>
      <c r="F72" s="40"/>
      <c r="G72" s="49"/>
      <c r="H72" s="60">
        <f t="shared" si="11"/>
        <v>0</v>
      </c>
      <c r="I72" s="49">
        <f t="shared" si="12"/>
        <v>0</v>
      </c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49">
        <f t="shared" si="13"/>
        <v>0</v>
      </c>
      <c r="V72" s="29">
        <f t="shared" si="14"/>
        <v>0</v>
      </c>
      <c r="W72" s="29">
        <f t="shared" si="15"/>
        <v>0</v>
      </c>
      <c r="X72" s="61">
        <f t="shared" si="16"/>
        <v>0</v>
      </c>
      <c r="Y72" s="61"/>
      <c r="Z72" s="61"/>
      <c r="AA72" s="61"/>
      <c r="AB72" s="61"/>
      <c r="AC72" s="61"/>
      <c r="AD72" s="61"/>
      <c r="AE72" s="49">
        <f t="shared" si="17"/>
        <v>0</v>
      </c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49">
        <f t="shared" si="18"/>
        <v>0</v>
      </c>
    </row>
    <row r="73" spans="1:57" ht="15" hidden="1" customHeight="1" x14ac:dyDescent="0.2">
      <c r="A73" s="36">
        <v>62</v>
      </c>
      <c r="B73" s="59"/>
      <c r="C73" s="38"/>
      <c r="D73" s="38" t="e">
        <f>VLOOKUP(C73,Planilha1!$J$2:$L$206,3,)</f>
        <v>#N/A</v>
      </c>
      <c r="E73" s="39"/>
      <c r="F73" s="40"/>
      <c r="G73" s="49"/>
      <c r="H73" s="60">
        <f t="shared" si="11"/>
        <v>0</v>
      </c>
      <c r="I73" s="49">
        <f t="shared" si="12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49">
        <f t="shared" si="13"/>
        <v>0</v>
      </c>
      <c r="V73" s="29">
        <f t="shared" si="14"/>
        <v>0</v>
      </c>
      <c r="W73" s="29">
        <f t="shared" si="15"/>
        <v>0</v>
      </c>
      <c r="X73" s="61">
        <f t="shared" si="16"/>
        <v>0</v>
      </c>
      <c r="Y73" s="61"/>
      <c r="Z73" s="61"/>
      <c r="AA73" s="61"/>
      <c r="AB73" s="61"/>
      <c r="AC73" s="61"/>
      <c r="AD73" s="61"/>
      <c r="AE73" s="49">
        <f t="shared" si="17"/>
        <v>0</v>
      </c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49">
        <f t="shared" si="18"/>
        <v>0</v>
      </c>
    </row>
    <row r="74" spans="1:57" ht="15" hidden="1" customHeight="1" x14ac:dyDescent="0.2">
      <c r="A74" s="36">
        <v>63</v>
      </c>
      <c r="B74" s="59"/>
      <c r="C74" s="38"/>
      <c r="D74" s="38" t="e">
        <f>VLOOKUP(C74,Planilha1!$J$2:$L$206,3,)</f>
        <v>#N/A</v>
      </c>
      <c r="E74" s="39"/>
      <c r="F74" s="40"/>
      <c r="G74" s="49"/>
      <c r="H74" s="60">
        <f t="shared" si="11"/>
        <v>0</v>
      </c>
      <c r="I74" s="49">
        <f t="shared" si="12"/>
        <v>0</v>
      </c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49">
        <f t="shared" si="13"/>
        <v>0</v>
      </c>
      <c r="V74" s="29">
        <f t="shared" si="14"/>
        <v>0</v>
      </c>
      <c r="W74" s="29">
        <f t="shared" si="15"/>
        <v>0</v>
      </c>
      <c r="X74" s="61">
        <f t="shared" si="16"/>
        <v>0</v>
      </c>
      <c r="Y74" s="61"/>
      <c r="Z74" s="61"/>
      <c r="AA74" s="61"/>
      <c r="AB74" s="61"/>
      <c r="AC74" s="61"/>
      <c r="AD74" s="61"/>
      <c r="AE74" s="49">
        <f t="shared" si="17"/>
        <v>0</v>
      </c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49">
        <f t="shared" si="18"/>
        <v>0</v>
      </c>
    </row>
    <row r="75" spans="1:57" ht="15" hidden="1" customHeight="1" x14ac:dyDescent="0.2">
      <c r="A75" s="36">
        <v>64</v>
      </c>
      <c r="B75" s="59"/>
      <c r="C75" s="38"/>
      <c r="D75" s="38" t="e">
        <f>VLOOKUP(C75,Planilha1!$J$2:$L$206,3,)</f>
        <v>#N/A</v>
      </c>
      <c r="E75" s="39"/>
      <c r="F75" s="40"/>
      <c r="G75" s="49"/>
      <c r="H75" s="60">
        <f t="shared" si="11"/>
        <v>0</v>
      </c>
      <c r="I75" s="49">
        <f t="shared" si="12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49">
        <f t="shared" si="13"/>
        <v>0</v>
      </c>
      <c r="V75" s="29">
        <f t="shared" si="14"/>
        <v>0</v>
      </c>
      <c r="W75" s="29">
        <f t="shared" si="15"/>
        <v>0</v>
      </c>
      <c r="X75" s="61">
        <f t="shared" si="16"/>
        <v>0</v>
      </c>
      <c r="Y75" s="61"/>
      <c r="Z75" s="61"/>
      <c r="AA75" s="61"/>
      <c r="AB75" s="61"/>
      <c r="AC75" s="61"/>
      <c r="AD75" s="61"/>
      <c r="AE75" s="49">
        <f t="shared" si="17"/>
        <v>0</v>
      </c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49">
        <f t="shared" si="18"/>
        <v>0</v>
      </c>
    </row>
    <row r="76" spans="1:57" ht="15" hidden="1" customHeight="1" x14ac:dyDescent="0.2">
      <c r="A76" s="36">
        <v>65</v>
      </c>
      <c r="B76" s="59"/>
      <c r="C76" s="38"/>
      <c r="D76" s="38" t="e">
        <f>VLOOKUP(C76,Planilha1!$J$2:$L$206,3,)</f>
        <v>#N/A</v>
      </c>
      <c r="E76" s="39"/>
      <c r="F76" s="40"/>
      <c r="G76" s="49"/>
      <c r="H76" s="60">
        <f t="shared" si="11"/>
        <v>0</v>
      </c>
      <c r="I76" s="49">
        <f t="shared" si="12"/>
        <v>0</v>
      </c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49">
        <f t="shared" si="13"/>
        <v>0</v>
      </c>
      <c r="V76" s="29">
        <f t="shared" si="14"/>
        <v>0</v>
      </c>
      <c r="W76" s="29">
        <f t="shared" si="15"/>
        <v>0</v>
      </c>
      <c r="X76" s="61">
        <f t="shared" si="16"/>
        <v>0</v>
      </c>
      <c r="Y76" s="61"/>
      <c r="Z76" s="61"/>
      <c r="AA76" s="61"/>
      <c r="AB76" s="61"/>
      <c r="AC76" s="61"/>
      <c r="AD76" s="61"/>
      <c r="AE76" s="49">
        <f t="shared" si="17"/>
        <v>0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49">
        <f t="shared" si="18"/>
        <v>0</v>
      </c>
    </row>
    <row r="77" spans="1:57" ht="15" hidden="1" customHeight="1" x14ac:dyDescent="0.2">
      <c r="A77" s="36">
        <v>66</v>
      </c>
      <c r="B77" s="59"/>
      <c r="C77" s="38"/>
      <c r="D77" s="38" t="e">
        <f>VLOOKUP(C77,Planilha1!$J$2:$L$206,3,)</f>
        <v>#N/A</v>
      </c>
      <c r="E77" s="39"/>
      <c r="F77" s="40"/>
      <c r="G77" s="49"/>
      <c r="H77" s="60">
        <f t="shared" si="11"/>
        <v>0</v>
      </c>
      <c r="I77" s="49">
        <f t="shared" si="12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49">
        <f t="shared" si="13"/>
        <v>0</v>
      </c>
      <c r="V77" s="29">
        <f t="shared" si="14"/>
        <v>0</v>
      </c>
      <c r="W77" s="29">
        <f t="shared" si="15"/>
        <v>0</v>
      </c>
      <c r="X77" s="61">
        <f t="shared" si="16"/>
        <v>0</v>
      </c>
      <c r="Y77" s="61"/>
      <c r="Z77" s="61"/>
      <c r="AA77" s="61"/>
      <c r="AB77" s="61"/>
      <c r="AC77" s="61"/>
      <c r="AD77" s="61"/>
      <c r="AE77" s="49">
        <f t="shared" si="17"/>
        <v>0</v>
      </c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49">
        <f t="shared" si="18"/>
        <v>0</v>
      </c>
    </row>
    <row r="78" spans="1:57" ht="15" hidden="1" customHeight="1" x14ac:dyDescent="0.2">
      <c r="A78" s="36">
        <v>67</v>
      </c>
      <c r="B78" s="59"/>
      <c r="C78" s="38"/>
      <c r="D78" s="38" t="e">
        <f>VLOOKUP(C78,Planilha1!$J$2:$L$206,3,)</f>
        <v>#N/A</v>
      </c>
      <c r="E78" s="39"/>
      <c r="F78" s="40"/>
      <c r="G78" s="49"/>
      <c r="H78" s="60">
        <f t="shared" si="11"/>
        <v>0</v>
      </c>
      <c r="I78" s="49">
        <f t="shared" si="12"/>
        <v>0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49">
        <f t="shared" si="13"/>
        <v>0</v>
      </c>
      <c r="V78" s="29">
        <f t="shared" si="14"/>
        <v>0</v>
      </c>
      <c r="W78" s="29">
        <f t="shared" si="15"/>
        <v>0</v>
      </c>
      <c r="X78" s="61">
        <f t="shared" si="16"/>
        <v>0</v>
      </c>
      <c r="Y78" s="61"/>
      <c r="Z78" s="61"/>
      <c r="AA78" s="61"/>
      <c r="AB78" s="61"/>
      <c r="AC78" s="61"/>
      <c r="AD78" s="61"/>
      <c r="AE78" s="49">
        <f t="shared" si="17"/>
        <v>0</v>
      </c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49">
        <f t="shared" si="18"/>
        <v>0</v>
      </c>
    </row>
    <row r="79" spans="1:57" ht="15" hidden="1" customHeight="1" x14ac:dyDescent="0.2">
      <c r="A79" s="36">
        <v>68</v>
      </c>
      <c r="B79" s="59"/>
      <c r="C79" s="38"/>
      <c r="D79" s="38" t="e">
        <f>VLOOKUP(C79,Planilha1!$J$2:$L$206,3,)</f>
        <v>#N/A</v>
      </c>
      <c r="E79" s="39"/>
      <c r="F79" s="40"/>
      <c r="G79" s="49"/>
      <c r="H79" s="60">
        <f t="shared" si="11"/>
        <v>0</v>
      </c>
      <c r="I79" s="49">
        <f t="shared" si="12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49">
        <f t="shared" si="13"/>
        <v>0</v>
      </c>
      <c r="V79" s="29">
        <f t="shared" si="14"/>
        <v>0</v>
      </c>
      <c r="W79" s="29">
        <f t="shared" si="15"/>
        <v>0</v>
      </c>
      <c r="X79" s="61">
        <f t="shared" si="16"/>
        <v>0</v>
      </c>
      <c r="Y79" s="61"/>
      <c r="Z79" s="61"/>
      <c r="AA79" s="61"/>
      <c r="AB79" s="61"/>
      <c r="AC79" s="61"/>
      <c r="AD79" s="61"/>
      <c r="AE79" s="49">
        <f t="shared" si="17"/>
        <v>0</v>
      </c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49">
        <f t="shared" si="18"/>
        <v>0</v>
      </c>
    </row>
    <row r="80" spans="1:57" ht="15" hidden="1" customHeight="1" x14ac:dyDescent="0.2">
      <c r="A80" s="36">
        <v>69</v>
      </c>
      <c r="B80" s="59"/>
      <c r="C80" s="38"/>
      <c r="D80" s="38" t="e">
        <f>VLOOKUP(C80,Planilha1!$J$2:$L$206,3,)</f>
        <v>#N/A</v>
      </c>
      <c r="E80" s="39"/>
      <c r="F80" s="40"/>
      <c r="G80" s="49"/>
      <c r="H80" s="60">
        <f t="shared" si="11"/>
        <v>0</v>
      </c>
      <c r="I80" s="49">
        <f t="shared" si="12"/>
        <v>0</v>
      </c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49">
        <f t="shared" si="13"/>
        <v>0</v>
      </c>
      <c r="V80" s="29">
        <f t="shared" si="14"/>
        <v>0</v>
      </c>
      <c r="W80" s="29">
        <f t="shared" si="15"/>
        <v>0</v>
      </c>
      <c r="X80" s="61">
        <f t="shared" si="16"/>
        <v>0</v>
      </c>
      <c r="Y80" s="61"/>
      <c r="Z80" s="61"/>
      <c r="AA80" s="61"/>
      <c r="AB80" s="61"/>
      <c r="AC80" s="61"/>
      <c r="AD80" s="61"/>
      <c r="AE80" s="49">
        <f t="shared" si="17"/>
        <v>0</v>
      </c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49">
        <f t="shared" si="18"/>
        <v>0</v>
      </c>
    </row>
    <row r="81" spans="1:57" ht="15" hidden="1" customHeight="1" x14ac:dyDescent="0.2">
      <c r="A81" s="36">
        <v>70</v>
      </c>
      <c r="B81" s="59"/>
      <c r="C81" s="38"/>
      <c r="D81" s="38" t="e">
        <f>VLOOKUP(C81,Planilha1!$J$2:$L$206,3,)</f>
        <v>#N/A</v>
      </c>
      <c r="E81" s="39"/>
      <c r="F81" s="40"/>
      <c r="G81" s="49"/>
      <c r="H81" s="60">
        <f t="shared" si="11"/>
        <v>0</v>
      </c>
      <c r="I81" s="49">
        <f t="shared" si="12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49">
        <f t="shared" si="13"/>
        <v>0</v>
      </c>
      <c r="V81" s="29">
        <f t="shared" si="14"/>
        <v>0</v>
      </c>
      <c r="W81" s="29">
        <f t="shared" si="15"/>
        <v>0</v>
      </c>
      <c r="X81" s="61">
        <f t="shared" si="16"/>
        <v>0</v>
      </c>
      <c r="Y81" s="61"/>
      <c r="Z81" s="61"/>
      <c r="AA81" s="61"/>
      <c r="AB81" s="61"/>
      <c r="AC81" s="61"/>
      <c r="AD81" s="61"/>
      <c r="AE81" s="49">
        <f t="shared" si="17"/>
        <v>0</v>
      </c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49">
        <f t="shared" si="18"/>
        <v>0</v>
      </c>
    </row>
    <row r="82" spans="1:57" ht="15" hidden="1" customHeight="1" x14ac:dyDescent="0.2">
      <c r="A82" s="36">
        <v>71</v>
      </c>
      <c r="B82" s="59"/>
      <c r="C82" s="38"/>
      <c r="D82" s="38" t="e">
        <f>VLOOKUP(C82,Planilha1!$J$2:$L$206,3,)</f>
        <v>#N/A</v>
      </c>
      <c r="E82" s="39"/>
      <c r="F82" s="40"/>
      <c r="G82" s="49"/>
      <c r="H82" s="60">
        <f t="shared" si="11"/>
        <v>0</v>
      </c>
      <c r="I82" s="49">
        <f t="shared" si="12"/>
        <v>0</v>
      </c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49">
        <f t="shared" si="13"/>
        <v>0</v>
      </c>
      <c r="V82" s="29">
        <f t="shared" si="14"/>
        <v>0</v>
      </c>
      <c r="W82" s="29">
        <f t="shared" si="15"/>
        <v>0</v>
      </c>
      <c r="X82" s="61">
        <f t="shared" si="16"/>
        <v>0</v>
      </c>
      <c r="Y82" s="61"/>
      <c r="Z82" s="61"/>
      <c r="AA82" s="61"/>
      <c r="AB82" s="61"/>
      <c r="AC82" s="61"/>
      <c r="AD82" s="61"/>
      <c r="AE82" s="49">
        <f t="shared" si="17"/>
        <v>0</v>
      </c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49">
        <f t="shared" si="18"/>
        <v>0</v>
      </c>
    </row>
    <row r="83" spans="1:57" ht="15" hidden="1" customHeight="1" x14ac:dyDescent="0.2">
      <c r="A83" s="36">
        <v>72</v>
      </c>
      <c r="B83" s="59"/>
      <c r="C83" s="38"/>
      <c r="D83" s="38" t="e">
        <f>VLOOKUP(C83,Planilha1!$J$2:$L$206,3,)</f>
        <v>#N/A</v>
      </c>
      <c r="E83" s="39"/>
      <c r="F83" s="40"/>
      <c r="G83" s="49"/>
      <c r="H83" s="60">
        <f t="shared" si="11"/>
        <v>0</v>
      </c>
      <c r="I83" s="49">
        <f t="shared" si="12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49">
        <f t="shared" si="13"/>
        <v>0</v>
      </c>
      <c r="V83" s="29">
        <f t="shared" si="14"/>
        <v>0</v>
      </c>
      <c r="W83" s="29">
        <f t="shared" si="15"/>
        <v>0</v>
      </c>
      <c r="X83" s="61">
        <f t="shared" si="16"/>
        <v>0</v>
      </c>
      <c r="Y83" s="61"/>
      <c r="Z83" s="61"/>
      <c r="AA83" s="61"/>
      <c r="AB83" s="61"/>
      <c r="AC83" s="61"/>
      <c r="AD83" s="61"/>
      <c r="AE83" s="49">
        <f t="shared" si="17"/>
        <v>0</v>
      </c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49">
        <f t="shared" si="18"/>
        <v>0</v>
      </c>
    </row>
    <row r="84" spans="1:57" ht="15" hidden="1" customHeight="1" x14ac:dyDescent="0.2">
      <c r="A84" s="36">
        <v>73</v>
      </c>
      <c r="B84" s="59"/>
      <c r="C84" s="38"/>
      <c r="D84" s="38" t="e">
        <f>VLOOKUP(C84,Planilha1!$J$2:$L$206,3,)</f>
        <v>#N/A</v>
      </c>
      <c r="E84" s="39"/>
      <c r="F84" s="40"/>
      <c r="G84" s="49"/>
      <c r="H84" s="60">
        <f t="shared" si="11"/>
        <v>0</v>
      </c>
      <c r="I84" s="49">
        <f t="shared" si="12"/>
        <v>0</v>
      </c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49">
        <f t="shared" si="13"/>
        <v>0</v>
      </c>
      <c r="V84" s="29">
        <f t="shared" si="14"/>
        <v>0</v>
      </c>
      <c r="W84" s="29">
        <f t="shared" si="15"/>
        <v>0</v>
      </c>
      <c r="X84" s="61">
        <f t="shared" si="16"/>
        <v>0</v>
      </c>
      <c r="Y84" s="61"/>
      <c r="Z84" s="61"/>
      <c r="AA84" s="61"/>
      <c r="AB84" s="61"/>
      <c r="AC84" s="61"/>
      <c r="AD84" s="61"/>
      <c r="AE84" s="49">
        <f t="shared" si="17"/>
        <v>0</v>
      </c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49">
        <f t="shared" si="18"/>
        <v>0</v>
      </c>
    </row>
    <row r="85" spans="1:57" ht="15" hidden="1" customHeight="1" x14ac:dyDescent="0.2">
      <c r="A85" s="36">
        <v>74</v>
      </c>
      <c r="B85" s="59"/>
      <c r="C85" s="38"/>
      <c r="D85" s="38" t="e">
        <f>VLOOKUP(C85,Planilha1!$J$2:$L$206,3,)</f>
        <v>#N/A</v>
      </c>
      <c r="E85" s="39"/>
      <c r="F85" s="40"/>
      <c r="G85" s="49"/>
      <c r="H85" s="60">
        <f t="shared" si="11"/>
        <v>0</v>
      </c>
      <c r="I85" s="49">
        <f t="shared" si="12"/>
        <v>0</v>
      </c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49">
        <f t="shared" si="13"/>
        <v>0</v>
      </c>
      <c r="V85" s="29">
        <f t="shared" si="14"/>
        <v>0</v>
      </c>
      <c r="W85" s="29">
        <f t="shared" si="15"/>
        <v>0</v>
      </c>
      <c r="X85" s="61">
        <f t="shared" si="16"/>
        <v>0</v>
      </c>
      <c r="Y85" s="61"/>
      <c r="Z85" s="61"/>
      <c r="AA85" s="61"/>
      <c r="AB85" s="61"/>
      <c r="AC85" s="61"/>
      <c r="AD85" s="61"/>
      <c r="AE85" s="49">
        <f t="shared" si="17"/>
        <v>0</v>
      </c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49">
        <f t="shared" si="18"/>
        <v>0</v>
      </c>
    </row>
    <row r="86" spans="1:57" ht="15" hidden="1" customHeight="1" x14ac:dyDescent="0.2">
      <c r="A86" s="36">
        <v>75</v>
      </c>
      <c r="B86" s="59"/>
      <c r="C86" s="38"/>
      <c r="D86" s="38" t="e">
        <f>VLOOKUP(C86,Planilha1!$J$2:$L$206,3,)</f>
        <v>#N/A</v>
      </c>
      <c r="E86" s="39"/>
      <c r="F86" s="40"/>
      <c r="G86" s="49"/>
      <c r="H86" s="60">
        <f t="shared" si="11"/>
        <v>0</v>
      </c>
      <c r="I86" s="49">
        <f t="shared" si="12"/>
        <v>0</v>
      </c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49">
        <f t="shared" si="13"/>
        <v>0</v>
      </c>
      <c r="V86" s="29">
        <f t="shared" si="14"/>
        <v>0</v>
      </c>
      <c r="W86" s="29">
        <f t="shared" si="15"/>
        <v>0</v>
      </c>
      <c r="X86" s="61">
        <f t="shared" si="16"/>
        <v>0</v>
      </c>
      <c r="Y86" s="61"/>
      <c r="Z86" s="61"/>
      <c r="AA86" s="61"/>
      <c r="AB86" s="61"/>
      <c r="AC86" s="61"/>
      <c r="AD86" s="61"/>
      <c r="AE86" s="49">
        <f t="shared" si="17"/>
        <v>0</v>
      </c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49">
        <f t="shared" si="18"/>
        <v>0</v>
      </c>
    </row>
    <row r="87" spans="1:57" ht="15" hidden="1" customHeight="1" x14ac:dyDescent="0.2">
      <c r="A87" s="36">
        <v>76</v>
      </c>
      <c r="B87" s="59"/>
      <c r="C87" s="38"/>
      <c r="D87" s="38" t="e">
        <f>VLOOKUP(C87,Planilha1!$J$2:$L$206,3,)</f>
        <v>#N/A</v>
      </c>
      <c r="E87" s="39"/>
      <c r="F87" s="40"/>
      <c r="G87" s="49"/>
      <c r="H87" s="60">
        <f t="shared" si="11"/>
        <v>0</v>
      </c>
      <c r="I87" s="49">
        <f t="shared" si="12"/>
        <v>0</v>
      </c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49">
        <f t="shared" si="13"/>
        <v>0</v>
      </c>
      <c r="V87" s="29">
        <f t="shared" si="14"/>
        <v>0</v>
      </c>
      <c r="W87" s="29">
        <f t="shared" si="15"/>
        <v>0</v>
      </c>
      <c r="X87" s="61">
        <f t="shared" si="16"/>
        <v>0</v>
      </c>
      <c r="Y87" s="61"/>
      <c r="Z87" s="61"/>
      <c r="AA87" s="61"/>
      <c r="AB87" s="61"/>
      <c r="AC87" s="61"/>
      <c r="AD87" s="61"/>
      <c r="AE87" s="49">
        <f t="shared" si="17"/>
        <v>0</v>
      </c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49">
        <f t="shared" si="18"/>
        <v>0</v>
      </c>
    </row>
    <row r="88" spans="1:57" ht="15" hidden="1" customHeight="1" x14ac:dyDescent="0.2">
      <c r="A88" s="36">
        <v>77</v>
      </c>
      <c r="B88" s="59"/>
      <c r="C88" s="38"/>
      <c r="D88" s="38" t="e">
        <f>VLOOKUP(C88,Planilha1!$J$2:$L$206,3,)</f>
        <v>#N/A</v>
      </c>
      <c r="E88" s="39"/>
      <c r="F88" s="40"/>
      <c r="G88" s="49"/>
      <c r="H88" s="60">
        <f t="shared" si="11"/>
        <v>0</v>
      </c>
      <c r="I88" s="49">
        <f t="shared" si="12"/>
        <v>0</v>
      </c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49">
        <f t="shared" si="13"/>
        <v>0</v>
      </c>
      <c r="V88" s="29">
        <f t="shared" si="14"/>
        <v>0</v>
      </c>
      <c r="W88" s="29">
        <f t="shared" si="15"/>
        <v>0</v>
      </c>
      <c r="X88" s="61">
        <f t="shared" si="16"/>
        <v>0</v>
      </c>
      <c r="Y88" s="61"/>
      <c r="Z88" s="61"/>
      <c r="AA88" s="61"/>
      <c r="AB88" s="61"/>
      <c r="AC88" s="61"/>
      <c r="AD88" s="61"/>
      <c r="AE88" s="49">
        <f t="shared" si="17"/>
        <v>0</v>
      </c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49">
        <f t="shared" si="18"/>
        <v>0</v>
      </c>
    </row>
    <row r="89" spans="1:57" ht="15" hidden="1" customHeight="1" x14ac:dyDescent="0.2">
      <c r="A89" s="36">
        <v>78</v>
      </c>
      <c r="B89" s="59"/>
      <c r="C89" s="38"/>
      <c r="D89" s="38" t="e">
        <f>VLOOKUP(C89,Planilha1!$J$2:$L$206,3,)</f>
        <v>#N/A</v>
      </c>
      <c r="E89" s="39"/>
      <c r="F89" s="40"/>
      <c r="G89" s="49"/>
      <c r="H89" s="60">
        <f t="shared" si="11"/>
        <v>0</v>
      </c>
      <c r="I89" s="49">
        <f t="shared" si="12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49">
        <f t="shared" si="13"/>
        <v>0</v>
      </c>
      <c r="V89" s="29">
        <f t="shared" si="14"/>
        <v>0</v>
      </c>
      <c r="W89" s="29">
        <f t="shared" si="15"/>
        <v>0</v>
      </c>
      <c r="X89" s="61">
        <f t="shared" si="16"/>
        <v>0</v>
      </c>
      <c r="Y89" s="61"/>
      <c r="Z89" s="61"/>
      <c r="AA89" s="61"/>
      <c r="AB89" s="61"/>
      <c r="AC89" s="61"/>
      <c r="AD89" s="61"/>
      <c r="AE89" s="49">
        <f t="shared" si="17"/>
        <v>0</v>
      </c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49">
        <f t="shared" si="18"/>
        <v>0</v>
      </c>
    </row>
    <row r="90" spans="1:57" ht="15" hidden="1" customHeight="1" x14ac:dyDescent="0.2">
      <c r="A90" s="36">
        <v>79</v>
      </c>
      <c r="B90" s="59"/>
      <c r="C90" s="38"/>
      <c r="D90" s="38" t="e">
        <f>VLOOKUP(C90,Planilha1!$J$2:$L$206,3,)</f>
        <v>#N/A</v>
      </c>
      <c r="E90" s="39"/>
      <c r="F90" s="40"/>
      <c r="G90" s="49"/>
      <c r="H90" s="60">
        <f t="shared" si="11"/>
        <v>0</v>
      </c>
      <c r="I90" s="49">
        <f t="shared" si="12"/>
        <v>0</v>
      </c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49">
        <f t="shared" si="13"/>
        <v>0</v>
      </c>
      <c r="V90" s="29">
        <f t="shared" si="14"/>
        <v>0</v>
      </c>
      <c r="W90" s="29">
        <f t="shared" si="15"/>
        <v>0</v>
      </c>
      <c r="X90" s="61">
        <f t="shared" si="16"/>
        <v>0</v>
      </c>
      <c r="Y90" s="61"/>
      <c r="Z90" s="61"/>
      <c r="AA90" s="61"/>
      <c r="AB90" s="61"/>
      <c r="AC90" s="61"/>
      <c r="AD90" s="61"/>
      <c r="AE90" s="49">
        <f t="shared" si="17"/>
        <v>0</v>
      </c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49">
        <f t="shared" si="18"/>
        <v>0</v>
      </c>
    </row>
    <row r="91" spans="1:57" ht="15" hidden="1" customHeight="1" x14ac:dyDescent="0.2">
      <c r="A91" s="36">
        <v>80</v>
      </c>
      <c r="B91" s="59"/>
      <c r="C91" s="38"/>
      <c r="D91" s="38" t="e">
        <f>VLOOKUP(C91,Planilha1!$J$2:$L$206,3,)</f>
        <v>#N/A</v>
      </c>
      <c r="E91" s="39"/>
      <c r="F91" s="40"/>
      <c r="G91" s="49"/>
      <c r="H91" s="60">
        <f t="shared" si="11"/>
        <v>0</v>
      </c>
      <c r="I91" s="49">
        <f t="shared" si="12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49">
        <f t="shared" si="13"/>
        <v>0</v>
      </c>
      <c r="V91" s="29">
        <f t="shared" si="14"/>
        <v>0</v>
      </c>
      <c r="W91" s="29">
        <f t="shared" si="15"/>
        <v>0</v>
      </c>
      <c r="X91" s="61">
        <f t="shared" si="16"/>
        <v>0</v>
      </c>
      <c r="Y91" s="61"/>
      <c r="Z91" s="61"/>
      <c r="AA91" s="61"/>
      <c r="AB91" s="61"/>
      <c r="AC91" s="61"/>
      <c r="AD91" s="61"/>
      <c r="AE91" s="49">
        <f t="shared" si="17"/>
        <v>0</v>
      </c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49">
        <f t="shared" si="18"/>
        <v>0</v>
      </c>
    </row>
    <row r="92" spans="1:57" ht="15" hidden="1" customHeight="1" x14ac:dyDescent="0.2">
      <c r="A92" s="36">
        <v>81</v>
      </c>
      <c r="B92" s="59"/>
      <c r="C92" s="38"/>
      <c r="D92" s="38" t="e">
        <f>VLOOKUP(C92,Planilha1!$J$2:$L$206,3,)</f>
        <v>#N/A</v>
      </c>
      <c r="E92" s="39"/>
      <c r="F92" s="40"/>
      <c r="G92" s="49"/>
      <c r="H92" s="60">
        <f t="shared" si="11"/>
        <v>0</v>
      </c>
      <c r="I92" s="49">
        <f t="shared" si="12"/>
        <v>0</v>
      </c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49">
        <f t="shared" si="13"/>
        <v>0</v>
      </c>
      <c r="V92" s="29">
        <f t="shared" si="14"/>
        <v>0</v>
      </c>
      <c r="W92" s="29">
        <f t="shared" si="15"/>
        <v>0</v>
      </c>
      <c r="X92" s="61">
        <f t="shared" si="16"/>
        <v>0</v>
      </c>
      <c r="Y92" s="61"/>
      <c r="Z92" s="61"/>
      <c r="AA92" s="61"/>
      <c r="AB92" s="61"/>
      <c r="AC92" s="61"/>
      <c r="AD92" s="61"/>
      <c r="AE92" s="49">
        <f t="shared" si="17"/>
        <v>0</v>
      </c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49">
        <f t="shared" si="18"/>
        <v>0</v>
      </c>
    </row>
    <row r="93" spans="1:57" ht="15" hidden="1" customHeight="1" x14ac:dyDescent="0.2">
      <c r="A93" s="36">
        <v>82</v>
      </c>
      <c r="B93" s="59"/>
      <c r="C93" s="38"/>
      <c r="D93" s="38" t="e">
        <f>VLOOKUP(C93,Planilha1!$J$2:$L$206,3,)</f>
        <v>#N/A</v>
      </c>
      <c r="E93" s="39"/>
      <c r="F93" s="40"/>
      <c r="G93" s="49"/>
      <c r="H93" s="60">
        <f t="shared" si="11"/>
        <v>0</v>
      </c>
      <c r="I93" s="49">
        <f t="shared" si="12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49">
        <f t="shared" si="13"/>
        <v>0</v>
      </c>
      <c r="V93" s="29">
        <f t="shared" si="14"/>
        <v>0</v>
      </c>
      <c r="W93" s="29">
        <f t="shared" si="15"/>
        <v>0</v>
      </c>
      <c r="X93" s="61">
        <f t="shared" si="16"/>
        <v>0</v>
      </c>
      <c r="Y93" s="61"/>
      <c r="Z93" s="61"/>
      <c r="AA93" s="61"/>
      <c r="AB93" s="61"/>
      <c r="AC93" s="61"/>
      <c r="AD93" s="61"/>
      <c r="AE93" s="49">
        <f t="shared" si="17"/>
        <v>0</v>
      </c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49">
        <f t="shared" si="18"/>
        <v>0</v>
      </c>
    </row>
    <row r="94" spans="1:57" ht="15" hidden="1" customHeight="1" x14ac:dyDescent="0.2">
      <c r="A94" s="36">
        <v>83</v>
      </c>
      <c r="B94" s="59"/>
      <c r="C94" s="38"/>
      <c r="D94" s="38" t="e">
        <f>VLOOKUP(C94,Planilha1!$J$2:$L$206,3,)</f>
        <v>#N/A</v>
      </c>
      <c r="E94" s="39"/>
      <c r="F94" s="40"/>
      <c r="G94" s="49"/>
      <c r="H94" s="60">
        <f t="shared" si="11"/>
        <v>0</v>
      </c>
      <c r="I94" s="49">
        <f t="shared" si="12"/>
        <v>0</v>
      </c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49">
        <f t="shared" si="13"/>
        <v>0</v>
      </c>
      <c r="V94" s="29">
        <f t="shared" si="14"/>
        <v>0</v>
      </c>
      <c r="W94" s="29">
        <f t="shared" si="15"/>
        <v>0</v>
      </c>
      <c r="X94" s="61">
        <f t="shared" si="16"/>
        <v>0</v>
      </c>
      <c r="Y94" s="61"/>
      <c r="Z94" s="61"/>
      <c r="AA94" s="61"/>
      <c r="AB94" s="61"/>
      <c r="AC94" s="61"/>
      <c r="AD94" s="61"/>
      <c r="AE94" s="49">
        <f t="shared" si="17"/>
        <v>0</v>
      </c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49">
        <f t="shared" si="18"/>
        <v>0</v>
      </c>
    </row>
    <row r="95" spans="1:57" ht="15" hidden="1" customHeight="1" x14ac:dyDescent="0.2">
      <c r="A95" s="36">
        <v>84</v>
      </c>
      <c r="B95" s="59"/>
      <c r="C95" s="38"/>
      <c r="D95" s="38" t="e">
        <f>VLOOKUP(C95,Planilha1!$J$2:$L$206,3,)</f>
        <v>#N/A</v>
      </c>
      <c r="E95" s="39"/>
      <c r="F95" s="40"/>
      <c r="G95" s="49"/>
      <c r="H95" s="60">
        <f t="shared" si="11"/>
        <v>0</v>
      </c>
      <c r="I95" s="49">
        <f t="shared" si="12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49">
        <f t="shared" si="13"/>
        <v>0</v>
      </c>
      <c r="V95" s="29">
        <f t="shared" si="14"/>
        <v>0</v>
      </c>
      <c r="W95" s="29">
        <f t="shared" si="15"/>
        <v>0</v>
      </c>
      <c r="X95" s="61">
        <f t="shared" si="16"/>
        <v>0</v>
      </c>
      <c r="Y95" s="61"/>
      <c r="Z95" s="61"/>
      <c r="AA95" s="61"/>
      <c r="AB95" s="61"/>
      <c r="AC95" s="61"/>
      <c r="AD95" s="61"/>
      <c r="AE95" s="49">
        <f t="shared" si="17"/>
        <v>0</v>
      </c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49">
        <f t="shared" si="18"/>
        <v>0</v>
      </c>
    </row>
    <row r="96" spans="1:57" ht="15" hidden="1" customHeight="1" x14ac:dyDescent="0.2">
      <c r="A96" s="36">
        <v>85</v>
      </c>
      <c r="B96" s="59"/>
      <c r="C96" s="38"/>
      <c r="D96" s="38" t="e">
        <f>VLOOKUP(C96,Planilha1!$J$2:$L$206,3,)</f>
        <v>#N/A</v>
      </c>
      <c r="E96" s="39"/>
      <c r="F96" s="40"/>
      <c r="G96" s="49"/>
      <c r="H96" s="60">
        <f t="shared" si="11"/>
        <v>0</v>
      </c>
      <c r="I96" s="49">
        <f t="shared" si="12"/>
        <v>0</v>
      </c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49">
        <f t="shared" si="13"/>
        <v>0</v>
      </c>
      <c r="V96" s="29">
        <f t="shared" si="14"/>
        <v>0</v>
      </c>
      <c r="W96" s="29">
        <f t="shared" si="15"/>
        <v>0</v>
      </c>
      <c r="X96" s="61">
        <f t="shared" si="16"/>
        <v>0</v>
      </c>
      <c r="Y96" s="61"/>
      <c r="Z96" s="61"/>
      <c r="AA96" s="61"/>
      <c r="AB96" s="61"/>
      <c r="AC96" s="61"/>
      <c r="AD96" s="61"/>
      <c r="AE96" s="49">
        <f t="shared" si="17"/>
        <v>0</v>
      </c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49">
        <f t="shared" si="18"/>
        <v>0</v>
      </c>
    </row>
    <row r="97" spans="1:57" ht="15" hidden="1" customHeight="1" x14ac:dyDescent="0.2">
      <c r="A97" s="36">
        <v>86</v>
      </c>
      <c r="B97" s="59"/>
      <c r="C97" s="38"/>
      <c r="D97" s="38" t="e">
        <f>VLOOKUP(C97,Planilha1!$J$2:$L$206,3,)</f>
        <v>#N/A</v>
      </c>
      <c r="E97" s="39"/>
      <c r="F97" s="40"/>
      <c r="G97" s="49"/>
      <c r="H97" s="60">
        <f t="shared" si="11"/>
        <v>0</v>
      </c>
      <c r="I97" s="49">
        <f t="shared" si="12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49">
        <f t="shared" si="13"/>
        <v>0</v>
      </c>
      <c r="V97" s="29">
        <f t="shared" si="14"/>
        <v>0</v>
      </c>
      <c r="W97" s="29">
        <f t="shared" si="15"/>
        <v>0</v>
      </c>
      <c r="X97" s="61">
        <f t="shared" si="16"/>
        <v>0</v>
      </c>
      <c r="Y97" s="61"/>
      <c r="Z97" s="61"/>
      <c r="AA97" s="61"/>
      <c r="AB97" s="61"/>
      <c r="AC97" s="61"/>
      <c r="AD97" s="61"/>
      <c r="AE97" s="49">
        <f t="shared" si="17"/>
        <v>0</v>
      </c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49">
        <f t="shared" si="18"/>
        <v>0</v>
      </c>
    </row>
    <row r="98" spans="1:57" ht="15" hidden="1" customHeight="1" x14ac:dyDescent="0.2">
      <c r="A98" s="36">
        <v>87</v>
      </c>
      <c r="B98" s="59"/>
      <c r="C98" s="38"/>
      <c r="D98" s="38" t="e">
        <f>VLOOKUP(C98,Planilha1!$J$2:$L$206,3,)</f>
        <v>#N/A</v>
      </c>
      <c r="E98" s="39"/>
      <c r="F98" s="40"/>
      <c r="G98" s="49"/>
      <c r="H98" s="60">
        <f t="shared" si="11"/>
        <v>0</v>
      </c>
      <c r="I98" s="49">
        <f t="shared" si="12"/>
        <v>0</v>
      </c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49">
        <f t="shared" si="13"/>
        <v>0</v>
      </c>
      <c r="V98" s="29">
        <f t="shared" si="14"/>
        <v>0</v>
      </c>
      <c r="W98" s="29">
        <f t="shared" si="15"/>
        <v>0</v>
      </c>
      <c r="X98" s="61">
        <f t="shared" si="16"/>
        <v>0</v>
      </c>
      <c r="Y98" s="61"/>
      <c r="Z98" s="61"/>
      <c r="AA98" s="61"/>
      <c r="AB98" s="61"/>
      <c r="AC98" s="61"/>
      <c r="AD98" s="61"/>
      <c r="AE98" s="49">
        <f t="shared" si="17"/>
        <v>0</v>
      </c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49">
        <f t="shared" si="18"/>
        <v>0</v>
      </c>
    </row>
    <row r="99" spans="1:57" ht="15" hidden="1" customHeight="1" x14ac:dyDescent="0.2">
      <c r="A99" s="36">
        <v>88</v>
      </c>
      <c r="B99" s="59"/>
      <c r="C99" s="38"/>
      <c r="D99" s="38" t="e">
        <f>VLOOKUP(C99,Planilha1!$J$2:$L$206,3,)</f>
        <v>#N/A</v>
      </c>
      <c r="E99" s="39"/>
      <c r="F99" s="40"/>
      <c r="G99" s="49"/>
      <c r="H99" s="60">
        <f t="shared" si="11"/>
        <v>0</v>
      </c>
      <c r="I99" s="49">
        <f t="shared" si="12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49">
        <f t="shared" si="13"/>
        <v>0</v>
      </c>
      <c r="V99" s="29">
        <f t="shared" si="14"/>
        <v>0</v>
      </c>
      <c r="W99" s="29">
        <f t="shared" si="15"/>
        <v>0</v>
      </c>
      <c r="X99" s="61">
        <f t="shared" si="16"/>
        <v>0</v>
      </c>
      <c r="Y99" s="61"/>
      <c r="Z99" s="61"/>
      <c r="AA99" s="61"/>
      <c r="AB99" s="61"/>
      <c r="AC99" s="61"/>
      <c r="AD99" s="61"/>
      <c r="AE99" s="49">
        <f t="shared" si="17"/>
        <v>0</v>
      </c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49">
        <f t="shared" si="18"/>
        <v>0</v>
      </c>
    </row>
    <row r="100" spans="1:57" ht="15" hidden="1" customHeight="1" x14ac:dyDescent="0.2">
      <c r="A100" s="36">
        <v>89</v>
      </c>
      <c r="B100" s="59"/>
      <c r="C100" s="38"/>
      <c r="D100" s="38" t="e">
        <f>VLOOKUP(C100,Planilha1!$J$2:$L$206,3,)</f>
        <v>#N/A</v>
      </c>
      <c r="E100" s="39"/>
      <c r="F100" s="40"/>
      <c r="G100" s="49"/>
      <c r="H100" s="60">
        <f t="shared" si="11"/>
        <v>0</v>
      </c>
      <c r="I100" s="49">
        <f t="shared" si="12"/>
        <v>0</v>
      </c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49">
        <f t="shared" si="13"/>
        <v>0</v>
      </c>
      <c r="V100" s="29">
        <f t="shared" si="14"/>
        <v>0</v>
      </c>
      <c r="W100" s="29">
        <f t="shared" si="15"/>
        <v>0</v>
      </c>
      <c r="X100" s="61">
        <f t="shared" si="16"/>
        <v>0</v>
      </c>
      <c r="Y100" s="61"/>
      <c r="Z100" s="61"/>
      <c r="AA100" s="61"/>
      <c r="AB100" s="61"/>
      <c r="AC100" s="61"/>
      <c r="AD100" s="61"/>
      <c r="AE100" s="49">
        <f t="shared" si="17"/>
        <v>0</v>
      </c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49">
        <f t="shared" si="18"/>
        <v>0</v>
      </c>
    </row>
    <row r="101" spans="1:57" ht="15" hidden="1" customHeight="1" x14ac:dyDescent="0.2">
      <c r="A101" s="36">
        <v>90</v>
      </c>
      <c r="B101" s="59"/>
      <c r="C101" s="38"/>
      <c r="D101" s="38" t="e">
        <f>VLOOKUP(C101,Planilha1!$J$2:$L$206,3,)</f>
        <v>#N/A</v>
      </c>
      <c r="E101" s="39"/>
      <c r="F101" s="40"/>
      <c r="G101" s="49"/>
      <c r="H101" s="60">
        <f t="shared" si="11"/>
        <v>0</v>
      </c>
      <c r="I101" s="49">
        <f t="shared" si="12"/>
        <v>0</v>
      </c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49">
        <f t="shared" si="13"/>
        <v>0</v>
      </c>
      <c r="V101" s="29">
        <f t="shared" si="14"/>
        <v>0</v>
      </c>
      <c r="W101" s="29">
        <f t="shared" si="15"/>
        <v>0</v>
      </c>
      <c r="X101" s="61">
        <f t="shared" si="16"/>
        <v>0</v>
      </c>
      <c r="Y101" s="61"/>
      <c r="Z101" s="61"/>
      <c r="AA101" s="61"/>
      <c r="AB101" s="61"/>
      <c r="AC101" s="61"/>
      <c r="AD101" s="61"/>
      <c r="AE101" s="49">
        <f t="shared" si="17"/>
        <v>0</v>
      </c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49">
        <f t="shared" si="18"/>
        <v>0</v>
      </c>
    </row>
    <row r="102" spans="1:57" ht="15" hidden="1" customHeight="1" x14ac:dyDescent="0.2">
      <c r="A102" s="36">
        <v>91</v>
      </c>
      <c r="B102" s="59"/>
      <c r="C102" s="38"/>
      <c r="D102" s="38" t="e">
        <f>VLOOKUP(C102,Planilha1!$J$2:$L$206,3,)</f>
        <v>#N/A</v>
      </c>
      <c r="E102" s="39"/>
      <c r="F102" s="40"/>
      <c r="G102" s="49"/>
      <c r="H102" s="60">
        <f t="shared" si="11"/>
        <v>0</v>
      </c>
      <c r="I102" s="49">
        <f t="shared" si="12"/>
        <v>0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49">
        <f t="shared" si="13"/>
        <v>0</v>
      </c>
      <c r="V102" s="29">
        <f t="shared" si="14"/>
        <v>0</v>
      </c>
      <c r="W102" s="29">
        <f t="shared" si="15"/>
        <v>0</v>
      </c>
      <c r="X102" s="61">
        <f t="shared" si="16"/>
        <v>0</v>
      </c>
      <c r="Y102" s="61"/>
      <c r="Z102" s="61"/>
      <c r="AA102" s="61"/>
      <c r="AB102" s="61"/>
      <c r="AC102" s="61"/>
      <c r="AD102" s="61"/>
      <c r="AE102" s="49">
        <f t="shared" si="17"/>
        <v>0</v>
      </c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49">
        <f t="shared" si="18"/>
        <v>0</v>
      </c>
    </row>
    <row r="103" spans="1:57" ht="15" hidden="1" customHeight="1" x14ac:dyDescent="0.2">
      <c r="A103" s="36">
        <v>92</v>
      </c>
      <c r="B103" s="59"/>
      <c r="C103" s="38"/>
      <c r="D103" s="38" t="e">
        <f>VLOOKUP(C103,Planilha1!$J$2:$L$206,3,)</f>
        <v>#N/A</v>
      </c>
      <c r="E103" s="39"/>
      <c r="F103" s="40"/>
      <c r="G103" s="49"/>
      <c r="H103" s="60">
        <f t="shared" si="11"/>
        <v>0</v>
      </c>
      <c r="I103" s="49">
        <f t="shared" si="12"/>
        <v>0</v>
      </c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49">
        <f t="shared" si="13"/>
        <v>0</v>
      </c>
      <c r="V103" s="29">
        <f t="shared" si="14"/>
        <v>0</v>
      </c>
      <c r="W103" s="29">
        <f t="shared" si="15"/>
        <v>0</v>
      </c>
      <c r="X103" s="61">
        <f t="shared" si="16"/>
        <v>0</v>
      </c>
      <c r="Y103" s="61"/>
      <c r="Z103" s="61"/>
      <c r="AA103" s="61"/>
      <c r="AB103" s="61"/>
      <c r="AC103" s="61"/>
      <c r="AD103" s="61"/>
      <c r="AE103" s="49">
        <f t="shared" si="17"/>
        <v>0</v>
      </c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49">
        <f t="shared" si="18"/>
        <v>0</v>
      </c>
    </row>
    <row r="104" spans="1:57" ht="15" hidden="1" customHeight="1" x14ac:dyDescent="0.2">
      <c r="A104" s="36">
        <v>93</v>
      </c>
      <c r="B104" s="59"/>
      <c r="C104" s="38"/>
      <c r="D104" s="38" t="e">
        <f>VLOOKUP(C104,Planilha1!$J$2:$L$206,3,)</f>
        <v>#N/A</v>
      </c>
      <c r="E104" s="39"/>
      <c r="F104" s="40"/>
      <c r="G104" s="49"/>
      <c r="H104" s="60">
        <f t="shared" ref="H104:H167" si="19">I104+U104</f>
        <v>0</v>
      </c>
      <c r="I104" s="49">
        <f t="shared" ref="I104:I167" si="20">SUM(J104:T104)</f>
        <v>0</v>
      </c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49">
        <f t="shared" ref="U104:U167" si="21">X104+AE104</f>
        <v>0</v>
      </c>
      <c r="V104" s="29">
        <f t="shared" ref="V104:V167" si="22">IF(H104,U104/H104,0)</f>
        <v>0</v>
      </c>
      <c r="W104" s="29">
        <f t="shared" ref="W104:W167" si="23">IF(H104,I104/H104,0)</f>
        <v>0</v>
      </c>
      <c r="X104" s="61">
        <f t="shared" ref="X104:X167" si="24">SUM(Y104:AD104)</f>
        <v>0</v>
      </c>
      <c r="Y104" s="61"/>
      <c r="Z104" s="61"/>
      <c r="AA104" s="61"/>
      <c r="AB104" s="61"/>
      <c r="AC104" s="61"/>
      <c r="AD104" s="61"/>
      <c r="AE104" s="49">
        <f t="shared" ref="AE104:AE167" si="25">SUM(AF104:BD104)</f>
        <v>0</v>
      </c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49">
        <f t="shared" ref="BE104:BE167" si="26">I104+AE104</f>
        <v>0</v>
      </c>
    </row>
    <row r="105" spans="1:57" ht="15" hidden="1" customHeight="1" x14ac:dyDescent="0.2">
      <c r="A105" s="36">
        <v>94</v>
      </c>
      <c r="B105" s="59"/>
      <c r="C105" s="38"/>
      <c r="D105" s="38" t="e">
        <f>VLOOKUP(C105,Planilha1!$J$2:$L$206,3,)</f>
        <v>#N/A</v>
      </c>
      <c r="E105" s="39"/>
      <c r="F105" s="40"/>
      <c r="G105" s="49"/>
      <c r="H105" s="60">
        <f t="shared" si="19"/>
        <v>0</v>
      </c>
      <c r="I105" s="49">
        <f t="shared" si="20"/>
        <v>0</v>
      </c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49">
        <f t="shared" si="21"/>
        <v>0</v>
      </c>
      <c r="V105" s="29">
        <f t="shared" si="22"/>
        <v>0</v>
      </c>
      <c r="W105" s="29">
        <f t="shared" si="23"/>
        <v>0</v>
      </c>
      <c r="X105" s="61">
        <f t="shared" si="24"/>
        <v>0</v>
      </c>
      <c r="Y105" s="61"/>
      <c r="Z105" s="61"/>
      <c r="AA105" s="61"/>
      <c r="AB105" s="61"/>
      <c r="AC105" s="61"/>
      <c r="AD105" s="61"/>
      <c r="AE105" s="49">
        <f t="shared" si="25"/>
        <v>0</v>
      </c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49">
        <f t="shared" si="26"/>
        <v>0</v>
      </c>
    </row>
    <row r="106" spans="1:57" ht="15" hidden="1" customHeight="1" x14ac:dyDescent="0.2">
      <c r="A106" s="36">
        <v>95</v>
      </c>
      <c r="B106" s="59"/>
      <c r="C106" s="38"/>
      <c r="D106" s="38" t="e">
        <f>VLOOKUP(C106,Planilha1!$J$2:$L$206,3,)</f>
        <v>#N/A</v>
      </c>
      <c r="E106" s="39"/>
      <c r="F106" s="40"/>
      <c r="G106" s="49"/>
      <c r="H106" s="60">
        <f t="shared" si="19"/>
        <v>0</v>
      </c>
      <c r="I106" s="49">
        <f t="shared" si="20"/>
        <v>0</v>
      </c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49">
        <f t="shared" si="21"/>
        <v>0</v>
      </c>
      <c r="V106" s="29">
        <f t="shared" si="22"/>
        <v>0</v>
      </c>
      <c r="W106" s="29">
        <f t="shared" si="23"/>
        <v>0</v>
      </c>
      <c r="X106" s="61">
        <f t="shared" si="24"/>
        <v>0</v>
      </c>
      <c r="Y106" s="61"/>
      <c r="Z106" s="61"/>
      <c r="AA106" s="61"/>
      <c r="AB106" s="61"/>
      <c r="AC106" s="61"/>
      <c r="AD106" s="61"/>
      <c r="AE106" s="49">
        <f t="shared" si="25"/>
        <v>0</v>
      </c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49">
        <f t="shared" si="26"/>
        <v>0</v>
      </c>
    </row>
    <row r="107" spans="1:57" ht="15" hidden="1" customHeight="1" x14ac:dyDescent="0.2">
      <c r="A107" s="36">
        <v>96</v>
      </c>
      <c r="B107" s="59"/>
      <c r="C107" s="38"/>
      <c r="D107" s="38" t="e">
        <f>VLOOKUP(C107,Planilha1!$J$2:$L$206,3,)</f>
        <v>#N/A</v>
      </c>
      <c r="E107" s="39"/>
      <c r="F107" s="40"/>
      <c r="G107" s="49"/>
      <c r="H107" s="60">
        <f t="shared" si="19"/>
        <v>0</v>
      </c>
      <c r="I107" s="49">
        <f t="shared" si="20"/>
        <v>0</v>
      </c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49">
        <f t="shared" si="21"/>
        <v>0</v>
      </c>
      <c r="V107" s="29">
        <f t="shared" si="22"/>
        <v>0</v>
      </c>
      <c r="W107" s="29">
        <f t="shared" si="23"/>
        <v>0</v>
      </c>
      <c r="X107" s="61">
        <f t="shared" si="24"/>
        <v>0</v>
      </c>
      <c r="Y107" s="61"/>
      <c r="Z107" s="61"/>
      <c r="AA107" s="61"/>
      <c r="AB107" s="61"/>
      <c r="AC107" s="61"/>
      <c r="AD107" s="61"/>
      <c r="AE107" s="49">
        <f t="shared" si="25"/>
        <v>0</v>
      </c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49">
        <f t="shared" si="26"/>
        <v>0</v>
      </c>
    </row>
    <row r="108" spans="1:57" ht="15" hidden="1" customHeight="1" x14ac:dyDescent="0.2">
      <c r="A108" s="36">
        <v>97</v>
      </c>
      <c r="B108" s="59"/>
      <c r="C108" s="38"/>
      <c r="D108" s="38" t="e">
        <f>VLOOKUP(C108,Planilha1!$J$2:$L$206,3,)</f>
        <v>#N/A</v>
      </c>
      <c r="E108" s="39"/>
      <c r="F108" s="40"/>
      <c r="G108" s="49"/>
      <c r="H108" s="60">
        <f t="shared" si="19"/>
        <v>0</v>
      </c>
      <c r="I108" s="49">
        <f t="shared" si="20"/>
        <v>0</v>
      </c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49">
        <f t="shared" si="21"/>
        <v>0</v>
      </c>
      <c r="V108" s="29">
        <f t="shared" si="22"/>
        <v>0</v>
      </c>
      <c r="W108" s="29">
        <f t="shared" si="23"/>
        <v>0</v>
      </c>
      <c r="X108" s="61">
        <f t="shared" si="24"/>
        <v>0</v>
      </c>
      <c r="Y108" s="61"/>
      <c r="Z108" s="61"/>
      <c r="AA108" s="61"/>
      <c r="AB108" s="61"/>
      <c r="AC108" s="61"/>
      <c r="AD108" s="61"/>
      <c r="AE108" s="49">
        <f t="shared" si="25"/>
        <v>0</v>
      </c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49">
        <f t="shared" si="26"/>
        <v>0</v>
      </c>
    </row>
    <row r="109" spans="1:57" ht="15" hidden="1" customHeight="1" x14ac:dyDescent="0.2">
      <c r="A109" s="36">
        <v>98</v>
      </c>
      <c r="B109" s="59"/>
      <c r="C109" s="38"/>
      <c r="D109" s="38" t="e">
        <f>VLOOKUP(C109,Planilha1!$J$2:$L$206,3,)</f>
        <v>#N/A</v>
      </c>
      <c r="E109" s="39"/>
      <c r="F109" s="40"/>
      <c r="G109" s="49"/>
      <c r="H109" s="60">
        <f t="shared" si="19"/>
        <v>0</v>
      </c>
      <c r="I109" s="49">
        <f t="shared" si="20"/>
        <v>0</v>
      </c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49">
        <f t="shared" si="21"/>
        <v>0</v>
      </c>
      <c r="V109" s="29">
        <f t="shared" si="22"/>
        <v>0</v>
      </c>
      <c r="W109" s="29">
        <f t="shared" si="23"/>
        <v>0</v>
      </c>
      <c r="X109" s="61">
        <f t="shared" si="24"/>
        <v>0</v>
      </c>
      <c r="Y109" s="61"/>
      <c r="Z109" s="61"/>
      <c r="AA109" s="61"/>
      <c r="AB109" s="61"/>
      <c r="AC109" s="61"/>
      <c r="AD109" s="61"/>
      <c r="AE109" s="49">
        <f t="shared" si="25"/>
        <v>0</v>
      </c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49">
        <f t="shared" si="26"/>
        <v>0</v>
      </c>
    </row>
    <row r="110" spans="1:57" ht="15" hidden="1" customHeight="1" x14ac:dyDescent="0.2">
      <c r="A110" s="36">
        <v>99</v>
      </c>
      <c r="B110" s="59"/>
      <c r="C110" s="38"/>
      <c r="D110" s="38" t="e">
        <f>VLOOKUP(C110,Planilha1!$J$2:$L$206,3,)</f>
        <v>#N/A</v>
      </c>
      <c r="E110" s="39"/>
      <c r="F110" s="40"/>
      <c r="G110" s="49"/>
      <c r="H110" s="60">
        <f t="shared" si="19"/>
        <v>0</v>
      </c>
      <c r="I110" s="49">
        <f t="shared" si="20"/>
        <v>0</v>
      </c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49">
        <f t="shared" si="21"/>
        <v>0</v>
      </c>
      <c r="V110" s="29">
        <f t="shared" si="22"/>
        <v>0</v>
      </c>
      <c r="W110" s="29">
        <f t="shared" si="23"/>
        <v>0</v>
      </c>
      <c r="X110" s="61">
        <f t="shared" si="24"/>
        <v>0</v>
      </c>
      <c r="Y110" s="61"/>
      <c r="Z110" s="61"/>
      <c r="AA110" s="61"/>
      <c r="AB110" s="61"/>
      <c r="AC110" s="61"/>
      <c r="AD110" s="61"/>
      <c r="AE110" s="49">
        <f t="shared" si="25"/>
        <v>0</v>
      </c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49">
        <f t="shared" si="26"/>
        <v>0</v>
      </c>
    </row>
    <row r="111" spans="1:57" ht="15" hidden="1" customHeight="1" x14ac:dyDescent="0.2">
      <c r="A111" s="36">
        <v>100</v>
      </c>
      <c r="B111" s="59"/>
      <c r="C111" s="38"/>
      <c r="D111" s="38" t="e">
        <f>VLOOKUP(C111,Planilha1!$J$2:$L$206,3,)</f>
        <v>#N/A</v>
      </c>
      <c r="E111" s="39"/>
      <c r="F111" s="40"/>
      <c r="G111" s="49"/>
      <c r="H111" s="60">
        <f t="shared" si="19"/>
        <v>0</v>
      </c>
      <c r="I111" s="49">
        <f t="shared" si="20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49">
        <f t="shared" si="21"/>
        <v>0</v>
      </c>
      <c r="V111" s="29">
        <f t="shared" si="22"/>
        <v>0</v>
      </c>
      <c r="W111" s="29">
        <f t="shared" si="23"/>
        <v>0</v>
      </c>
      <c r="X111" s="61">
        <f t="shared" si="24"/>
        <v>0</v>
      </c>
      <c r="Y111" s="61"/>
      <c r="Z111" s="61"/>
      <c r="AA111" s="61"/>
      <c r="AB111" s="61"/>
      <c r="AC111" s="61"/>
      <c r="AD111" s="61"/>
      <c r="AE111" s="49">
        <f t="shared" si="25"/>
        <v>0</v>
      </c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49">
        <f t="shared" si="26"/>
        <v>0</v>
      </c>
    </row>
    <row r="112" spans="1:57" ht="15" hidden="1" customHeight="1" x14ac:dyDescent="0.2">
      <c r="A112" s="36">
        <v>101</v>
      </c>
      <c r="B112" s="59"/>
      <c r="C112" s="38"/>
      <c r="D112" s="38" t="e">
        <f>VLOOKUP(C112,Planilha1!$J$2:$L$206,3,)</f>
        <v>#N/A</v>
      </c>
      <c r="E112" s="39"/>
      <c r="F112" s="40"/>
      <c r="G112" s="49"/>
      <c r="H112" s="60">
        <f t="shared" si="19"/>
        <v>0</v>
      </c>
      <c r="I112" s="49">
        <f t="shared" si="20"/>
        <v>0</v>
      </c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49">
        <f t="shared" si="21"/>
        <v>0</v>
      </c>
      <c r="V112" s="29">
        <f t="shared" si="22"/>
        <v>0</v>
      </c>
      <c r="W112" s="29">
        <f t="shared" si="23"/>
        <v>0</v>
      </c>
      <c r="X112" s="61">
        <f t="shared" si="24"/>
        <v>0</v>
      </c>
      <c r="Y112" s="61"/>
      <c r="Z112" s="61"/>
      <c r="AA112" s="61"/>
      <c r="AB112" s="61"/>
      <c r="AC112" s="61"/>
      <c r="AD112" s="61"/>
      <c r="AE112" s="49">
        <f t="shared" si="25"/>
        <v>0</v>
      </c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49">
        <f t="shared" si="26"/>
        <v>0</v>
      </c>
    </row>
    <row r="113" spans="1:57" ht="15" hidden="1" customHeight="1" x14ac:dyDescent="0.2">
      <c r="A113" s="36">
        <v>102</v>
      </c>
      <c r="B113" s="59"/>
      <c r="C113" s="38"/>
      <c r="D113" s="38" t="e">
        <f>VLOOKUP(C113,Planilha1!$J$2:$L$206,3,)</f>
        <v>#N/A</v>
      </c>
      <c r="E113" s="39"/>
      <c r="F113" s="40"/>
      <c r="G113" s="49"/>
      <c r="H113" s="60">
        <f t="shared" si="19"/>
        <v>0</v>
      </c>
      <c r="I113" s="49">
        <f t="shared" si="20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49">
        <f t="shared" si="21"/>
        <v>0</v>
      </c>
      <c r="V113" s="29">
        <f t="shared" si="22"/>
        <v>0</v>
      </c>
      <c r="W113" s="29">
        <f t="shared" si="23"/>
        <v>0</v>
      </c>
      <c r="X113" s="61">
        <f t="shared" si="24"/>
        <v>0</v>
      </c>
      <c r="Y113" s="61"/>
      <c r="Z113" s="61"/>
      <c r="AA113" s="61"/>
      <c r="AB113" s="61"/>
      <c r="AC113" s="61"/>
      <c r="AD113" s="61"/>
      <c r="AE113" s="49">
        <f t="shared" si="25"/>
        <v>0</v>
      </c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49">
        <f t="shared" si="26"/>
        <v>0</v>
      </c>
    </row>
    <row r="114" spans="1:57" ht="15" hidden="1" customHeight="1" x14ac:dyDescent="0.2">
      <c r="A114" s="36">
        <v>103</v>
      </c>
      <c r="B114" s="59"/>
      <c r="C114" s="38"/>
      <c r="D114" s="38" t="e">
        <f>VLOOKUP(C114,Planilha1!$J$2:$L$206,3,)</f>
        <v>#N/A</v>
      </c>
      <c r="E114" s="39"/>
      <c r="F114" s="40"/>
      <c r="G114" s="49"/>
      <c r="H114" s="60">
        <f t="shared" si="19"/>
        <v>0</v>
      </c>
      <c r="I114" s="49">
        <f t="shared" si="20"/>
        <v>0</v>
      </c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49">
        <f t="shared" si="21"/>
        <v>0</v>
      </c>
      <c r="V114" s="29">
        <f t="shared" si="22"/>
        <v>0</v>
      </c>
      <c r="W114" s="29">
        <f t="shared" si="23"/>
        <v>0</v>
      </c>
      <c r="X114" s="61">
        <f t="shared" si="24"/>
        <v>0</v>
      </c>
      <c r="Y114" s="61"/>
      <c r="Z114" s="61"/>
      <c r="AA114" s="61"/>
      <c r="AB114" s="61"/>
      <c r="AC114" s="61"/>
      <c r="AD114" s="61"/>
      <c r="AE114" s="49">
        <f t="shared" si="25"/>
        <v>0</v>
      </c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49">
        <f t="shared" si="26"/>
        <v>0</v>
      </c>
    </row>
    <row r="115" spans="1:57" ht="15" hidden="1" customHeight="1" x14ac:dyDescent="0.2">
      <c r="A115" s="36">
        <v>104</v>
      </c>
      <c r="B115" s="59"/>
      <c r="C115" s="38"/>
      <c r="D115" s="38" t="e">
        <f>VLOOKUP(C115,Planilha1!$J$2:$L$206,3,)</f>
        <v>#N/A</v>
      </c>
      <c r="E115" s="39"/>
      <c r="F115" s="40"/>
      <c r="G115" s="49"/>
      <c r="H115" s="60">
        <f t="shared" si="19"/>
        <v>0</v>
      </c>
      <c r="I115" s="49">
        <f t="shared" si="20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49">
        <f t="shared" si="21"/>
        <v>0</v>
      </c>
      <c r="V115" s="29">
        <f t="shared" si="22"/>
        <v>0</v>
      </c>
      <c r="W115" s="29">
        <f t="shared" si="23"/>
        <v>0</v>
      </c>
      <c r="X115" s="61">
        <f t="shared" si="24"/>
        <v>0</v>
      </c>
      <c r="Y115" s="61"/>
      <c r="Z115" s="61"/>
      <c r="AA115" s="61"/>
      <c r="AB115" s="61"/>
      <c r="AC115" s="61"/>
      <c r="AD115" s="61"/>
      <c r="AE115" s="49">
        <f t="shared" si="25"/>
        <v>0</v>
      </c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49">
        <f t="shared" si="26"/>
        <v>0</v>
      </c>
    </row>
    <row r="116" spans="1:57" ht="15" hidden="1" customHeight="1" x14ac:dyDescent="0.2">
      <c r="A116" s="36">
        <v>105</v>
      </c>
      <c r="B116" s="59"/>
      <c r="C116" s="38"/>
      <c r="D116" s="38" t="e">
        <f>VLOOKUP(C116,Planilha1!$J$2:$L$206,3,)</f>
        <v>#N/A</v>
      </c>
      <c r="E116" s="39"/>
      <c r="F116" s="40"/>
      <c r="G116" s="49"/>
      <c r="H116" s="60">
        <f t="shared" si="19"/>
        <v>0</v>
      </c>
      <c r="I116" s="49">
        <f t="shared" si="20"/>
        <v>0</v>
      </c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49">
        <f t="shared" si="21"/>
        <v>0</v>
      </c>
      <c r="V116" s="29">
        <f t="shared" si="22"/>
        <v>0</v>
      </c>
      <c r="W116" s="29">
        <f t="shared" si="23"/>
        <v>0</v>
      </c>
      <c r="X116" s="61">
        <f t="shared" si="24"/>
        <v>0</v>
      </c>
      <c r="Y116" s="61"/>
      <c r="Z116" s="61"/>
      <c r="AA116" s="61"/>
      <c r="AB116" s="61"/>
      <c r="AC116" s="61"/>
      <c r="AD116" s="61"/>
      <c r="AE116" s="49">
        <f t="shared" si="25"/>
        <v>0</v>
      </c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49">
        <f t="shared" si="26"/>
        <v>0</v>
      </c>
    </row>
    <row r="117" spans="1:57" ht="15" hidden="1" customHeight="1" x14ac:dyDescent="0.2">
      <c r="A117" s="36">
        <v>106</v>
      </c>
      <c r="B117" s="59"/>
      <c r="C117" s="38"/>
      <c r="D117" s="38" t="e">
        <f>VLOOKUP(C117,Planilha1!$J$2:$L$206,3,)</f>
        <v>#N/A</v>
      </c>
      <c r="E117" s="39"/>
      <c r="F117" s="40"/>
      <c r="G117" s="49"/>
      <c r="H117" s="60">
        <f t="shared" si="19"/>
        <v>0</v>
      </c>
      <c r="I117" s="49">
        <f t="shared" si="20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49">
        <f t="shared" si="21"/>
        <v>0</v>
      </c>
      <c r="V117" s="29">
        <f t="shared" si="22"/>
        <v>0</v>
      </c>
      <c r="W117" s="29">
        <f t="shared" si="23"/>
        <v>0</v>
      </c>
      <c r="X117" s="61">
        <f t="shared" si="24"/>
        <v>0</v>
      </c>
      <c r="Y117" s="61"/>
      <c r="Z117" s="61"/>
      <c r="AA117" s="61"/>
      <c r="AB117" s="61"/>
      <c r="AC117" s="61"/>
      <c r="AD117" s="61"/>
      <c r="AE117" s="49">
        <f t="shared" si="25"/>
        <v>0</v>
      </c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49">
        <f t="shared" si="26"/>
        <v>0</v>
      </c>
    </row>
    <row r="118" spans="1:57" ht="15" hidden="1" customHeight="1" x14ac:dyDescent="0.2">
      <c r="A118" s="36">
        <v>107</v>
      </c>
      <c r="B118" s="59"/>
      <c r="C118" s="38"/>
      <c r="D118" s="38" t="e">
        <f>VLOOKUP(C118,Planilha1!$J$2:$L$206,3,)</f>
        <v>#N/A</v>
      </c>
      <c r="E118" s="39"/>
      <c r="F118" s="40"/>
      <c r="G118" s="49"/>
      <c r="H118" s="60">
        <f t="shared" si="19"/>
        <v>0</v>
      </c>
      <c r="I118" s="49">
        <f t="shared" si="20"/>
        <v>0</v>
      </c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49">
        <f t="shared" si="21"/>
        <v>0</v>
      </c>
      <c r="V118" s="29">
        <f t="shared" si="22"/>
        <v>0</v>
      </c>
      <c r="W118" s="29">
        <f t="shared" si="23"/>
        <v>0</v>
      </c>
      <c r="X118" s="61">
        <f t="shared" si="24"/>
        <v>0</v>
      </c>
      <c r="Y118" s="61"/>
      <c r="Z118" s="61"/>
      <c r="AA118" s="61"/>
      <c r="AB118" s="61"/>
      <c r="AC118" s="61"/>
      <c r="AD118" s="61"/>
      <c r="AE118" s="49">
        <f t="shared" si="25"/>
        <v>0</v>
      </c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49">
        <f t="shared" si="26"/>
        <v>0</v>
      </c>
    </row>
    <row r="119" spans="1:57" ht="15" hidden="1" customHeight="1" x14ac:dyDescent="0.2">
      <c r="A119" s="36">
        <v>108</v>
      </c>
      <c r="B119" s="59"/>
      <c r="C119" s="38"/>
      <c r="D119" s="38" t="e">
        <f>VLOOKUP(C119,Planilha1!$J$2:$L$206,3,)</f>
        <v>#N/A</v>
      </c>
      <c r="E119" s="39"/>
      <c r="F119" s="40"/>
      <c r="G119" s="49"/>
      <c r="H119" s="60">
        <f t="shared" si="19"/>
        <v>0</v>
      </c>
      <c r="I119" s="49">
        <f t="shared" si="20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49">
        <f t="shared" si="21"/>
        <v>0</v>
      </c>
      <c r="V119" s="29">
        <f t="shared" si="22"/>
        <v>0</v>
      </c>
      <c r="W119" s="29">
        <f t="shared" si="23"/>
        <v>0</v>
      </c>
      <c r="X119" s="61">
        <f t="shared" si="24"/>
        <v>0</v>
      </c>
      <c r="Y119" s="61"/>
      <c r="Z119" s="61"/>
      <c r="AA119" s="61"/>
      <c r="AB119" s="61"/>
      <c r="AC119" s="61"/>
      <c r="AD119" s="61"/>
      <c r="AE119" s="49">
        <f t="shared" si="25"/>
        <v>0</v>
      </c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49">
        <f t="shared" si="26"/>
        <v>0</v>
      </c>
    </row>
    <row r="120" spans="1:57" ht="15" hidden="1" customHeight="1" x14ac:dyDescent="0.2">
      <c r="A120" s="36">
        <v>109</v>
      </c>
      <c r="B120" s="59"/>
      <c r="C120" s="38"/>
      <c r="D120" s="38" t="e">
        <f>VLOOKUP(C120,Planilha1!$J$2:$L$206,3,)</f>
        <v>#N/A</v>
      </c>
      <c r="E120" s="39"/>
      <c r="F120" s="40"/>
      <c r="G120" s="49"/>
      <c r="H120" s="60">
        <f t="shared" si="19"/>
        <v>0</v>
      </c>
      <c r="I120" s="49">
        <f t="shared" si="20"/>
        <v>0</v>
      </c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49">
        <f t="shared" si="21"/>
        <v>0</v>
      </c>
      <c r="V120" s="29">
        <f t="shared" si="22"/>
        <v>0</v>
      </c>
      <c r="W120" s="29">
        <f t="shared" si="23"/>
        <v>0</v>
      </c>
      <c r="X120" s="61">
        <f t="shared" si="24"/>
        <v>0</v>
      </c>
      <c r="Y120" s="61"/>
      <c r="Z120" s="61"/>
      <c r="AA120" s="61"/>
      <c r="AB120" s="61"/>
      <c r="AC120" s="61"/>
      <c r="AD120" s="61"/>
      <c r="AE120" s="49">
        <f t="shared" si="25"/>
        <v>0</v>
      </c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49">
        <f t="shared" si="26"/>
        <v>0</v>
      </c>
    </row>
    <row r="121" spans="1:57" ht="15" hidden="1" customHeight="1" x14ac:dyDescent="0.2">
      <c r="A121" s="36">
        <v>110</v>
      </c>
      <c r="B121" s="59"/>
      <c r="C121" s="38"/>
      <c r="D121" s="38" t="e">
        <f>VLOOKUP(C121,Planilha1!$J$2:$L$206,3,)</f>
        <v>#N/A</v>
      </c>
      <c r="E121" s="39"/>
      <c r="F121" s="40"/>
      <c r="G121" s="49"/>
      <c r="H121" s="60">
        <f t="shared" si="19"/>
        <v>0</v>
      </c>
      <c r="I121" s="49">
        <f t="shared" si="20"/>
        <v>0</v>
      </c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49">
        <f t="shared" si="21"/>
        <v>0</v>
      </c>
      <c r="V121" s="29">
        <f t="shared" si="22"/>
        <v>0</v>
      </c>
      <c r="W121" s="29">
        <f t="shared" si="23"/>
        <v>0</v>
      </c>
      <c r="X121" s="61">
        <f t="shared" si="24"/>
        <v>0</v>
      </c>
      <c r="Y121" s="61"/>
      <c r="Z121" s="61"/>
      <c r="AA121" s="61"/>
      <c r="AB121" s="61"/>
      <c r="AC121" s="61"/>
      <c r="AD121" s="61"/>
      <c r="AE121" s="49">
        <f t="shared" si="25"/>
        <v>0</v>
      </c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49">
        <f t="shared" si="26"/>
        <v>0</v>
      </c>
    </row>
    <row r="122" spans="1:57" ht="15" hidden="1" customHeight="1" x14ac:dyDescent="0.2">
      <c r="A122" s="36">
        <v>111</v>
      </c>
      <c r="B122" s="59"/>
      <c r="C122" s="38"/>
      <c r="D122" s="38" t="e">
        <f>VLOOKUP(C122,Planilha1!$J$2:$L$206,3,)</f>
        <v>#N/A</v>
      </c>
      <c r="E122" s="39"/>
      <c r="F122" s="40"/>
      <c r="G122" s="49"/>
      <c r="H122" s="60">
        <f t="shared" si="19"/>
        <v>0</v>
      </c>
      <c r="I122" s="49">
        <f t="shared" si="20"/>
        <v>0</v>
      </c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49">
        <f t="shared" si="21"/>
        <v>0</v>
      </c>
      <c r="V122" s="29">
        <f t="shared" si="22"/>
        <v>0</v>
      </c>
      <c r="W122" s="29">
        <f t="shared" si="23"/>
        <v>0</v>
      </c>
      <c r="X122" s="61">
        <f t="shared" si="24"/>
        <v>0</v>
      </c>
      <c r="Y122" s="61"/>
      <c r="Z122" s="61"/>
      <c r="AA122" s="61"/>
      <c r="AB122" s="61"/>
      <c r="AC122" s="61"/>
      <c r="AD122" s="61"/>
      <c r="AE122" s="49">
        <f t="shared" si="25"/>
        <v>0</v>
      </c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49">
        <f t="shared" si="26"/>
        <v>0</v>
      </c>
    </row>
    <row r="123" spans="1:57" ht="15" hidden="1" customHeight="1" x14ac:dyDescent="0.2">
      <c r="A123" s="36">
        <v>112</v>
      </c>
      <c r="B123" s="59"/>
      <c r="C123" s="38"/>
      <c r="D123" s="38" t="e">
        <f>VLOOKUP(C123,Planilha1!$J$2:$L$206,3,)</f>
        <v>#N/A</v>
      </c>
      <c r="E123" s="39"/>
      <c r="F123" s="40"/>
      <c r="G123" s="49"/>
      <c r="H123" s="60">
        <f t="shared" si="19"/>
        <v>0</v>
      </c>
      <c r="I123" s="49">
        <f t="shared" si="20"/>
        <v>0</v>
      </c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49">
        <f t="shared" si="21"/>
        <v>0</v>
      </c>
      <c r="V123" s="29">
        <f t="shared" si="22"/>
        <v>0</v>
      </c>
      <c r="W123" s="29">
        <f t="shared" si="23"/>
        <v>0</v>
      </c>
      <c r="X123" s="61">
        <f t="shared" si="24"/>
        <v>0</v>
      </c>
      <c r="Y123" s="61"/>
      <c r="Z123" s="61"/>
      <c r="AA123" s="61"/>
      <c r="AB123" s="61"/>
      <c r="AC123" s="61"/>
      <c r="AD123" s="61"/>
      <c r="AE123" s="49">
        <f t="shared" si="25"/>
        <v>0</v>
      </c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49">
        <f t="shared" si="26"/>
        <v>0</v>
      </c>
    </row>
    <row r="124" spans="1:57" ht="15" hidden="1" customHeight="1" x14ac:dyDescent="0.2">
      <c r="A124" s="36">
        <v>113</v>
      </c>
      <c r="B124" s="59"/>
      <c r="C124" s="38"/>
      <c r="D124" s="38" t="e">
        <f>VLOOKUP(C124,Planilha1!$J$2:$L$206,3,)</f>
        <v>#N/A</v>
      </c>
      <c r="E124" s="39"/>
      <c r="F124" s="40"/>
      <c r="G124" s="49"/>
      <c r="H124" s="60">
        <f t="shared" si="19"/>
        <v>0</v>
      </c>
      <c r="I124" s="49">
        <f t="shared" si="20"/>
        <v>0</v>
      </c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49">
        <f t="shared" si="21"/>
        <v>0</v>
      </c>
      <c r="V124" s="29">
        <f t="shared" si="22"/>
        <v>0</v>
      </c>
      <c r="W124" s="29">
        <f t="shared" si="23"/>
        <v>0</v>
      </c>
      <c r="X124" s="61">
        <f t="shared" si="24"/>
        <v>0</v>
      </c>
      <c r="Y124" s="61"/>
      <c r="Z124" s="61"/>
      <c r="AA124" s="61"/>
      <c r="AB124" s="61"/>
      <c r="AC124" s="61"/>
      <c r="AD124" s="61"/>
      <c r="AE124" s="49">
        <f t="shared" si="25"/>
        <v>0</v>
      </c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49">
        <f t="shared" si="26"/>
        <v>0</v>
      </c>
    </row>
    <row r="125" spans="1:57" ht="15" hidden="1" customHeight="1" x14ac:dyDescent="0.2">
      <c r="A125" s="36">
        <v>114</v>
      </c>
      <c r="B125" s="59"/>
      <c r="C125" s="38"/>
      <c r="D125" s="38" t="e">
        <f>VLOOKUP(C125,Planilha1!$J$2:$L$206,3,)</f>
        <v>#N/A</v>
      </c>
      <c r="E125" s="39"/>
      <c r="F125" s="40"/>
      <c r="G125" s="49"/>
      <c r="H125" s="60">
        <f t="shared" si="19"/>
        <v>0</v>
      </c>
      <c r="I125" s="49">
        <f t="shared" si="20"/>
        <v>0</v>
      </c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49">
        <f t="shared" si="21"/>
        <v>0</v>
      </c>
      <c r="V125" s="29">
        <f t="shared" si="22"/>
        <v>0</v>
      </c>
      <c r="W125" s="29">
        <f t="shared" si="23"/>
        <v>0</v>
      </c>
      <c r="X125" s="61">
        <f t="shared" si="24"/>
        <v>0</v>
      </c>
      <c r="Y125" s="61"/>
      <c r="Z125" s="61"/>
      <c r="AA125" s="61"/>
      <c r="AB125" s="61"/>
      <c r="AC125" s="61"/>
      <c r="AD125" s="61"/>
      <c r="AE125" s="49">
        <f t="shared" si="25"/>
        <v>0</v>
      </c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49">
        <f t="shared" si="26"/>
        <v>0</v>
      </c>
    </row>
    <row r="126" spans="1:57" ht="15" hidden="1" customHeight="1" x14ac:dyDescent="0.2">
      <c r="A126" s="36">
        <v>115</v>
      </c>
      <c r="B126" s="59"/>
      <c r="C126" s="38"/>
      <c r="D126" s="38" t="e">
        <f>VLOOKUP(C126,Planilha1!$J$2:$L$206,3,)</f>
        <v>#N/A</v>
      </c>
      <c r="E126" s="39"/>
      <c r="F126" s="40"/>
      <c r="G126" s="49"/>
      <c r="H126" s="60">
        <f t="shared" si="19"/>
        <v>0</v>
      </c>
      <c r="I126" s="49">
        <f t="shared" si="20"/>
        <v>0</v>
      </c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49">
        <f t="shared" si="21"/>
        <v>0</v>
      </c>
      <c r="V126" s="29">
        <f t="shared" si="22"/>
        <v>0</v>
      </c>
      <c r="W126" s="29">
        <f t="shared" si="23"/>
        <v>0</v>
      </c>
      <c r="X126" s="61">
        <f t="shared" si="24"/>
        <v>0</v>
      </c>
      <c r="Y126" s="61"/>
      <c r="Z126" s="61"/>
      <c r="AA126" s="61"/>
      <c r="AB126" s="61"/>
      <c r="AC126" s="61"/>
      <c r="AD126" s="61"/>
      <c r="AE126" s="49">
        <f t="shared" si="25"/>
        <v>0</v>
      </c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49">
        <f t="shared" si="26"/>
        <v>0</v>
      </c>
    </row>
    <row r="127" spans="1:57" ht="15" hidden="1" customHeight="1" x14ac:dyDescent="0.2">
      <c r="A127" s="36">
        <v>116</v>
      </c>
      <c r="B127" s="59"/>
      <c r="C127" s="38"/>
      <c r="D127" s="38" t="e">
        <f>VLOOKUP(C127,Planilha1!$J$2:$L$206,3,)</f>
        <v>#N/A</v>
      </c>
      <c r="E127" s="39"/>
      <c r="F127" s="40"/>
      <c r="G127" s="49"/>
      <c r="H127" s="60">
        <f t="shared" si="19"/>
        <v>0</v>
      </c>
      <c r="I127" s="49">
        <f t="shared" si="20"/>
        <v>0</v>
      </c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49">
        <f t="shared" si="21"/>
        <v>0</v>
      </c>
      <c r="V127" s="29">
        <f t="shared" si="22"/>
        <v>0</v>
      </c>
      <c r="W127" s="29">
        <f t="shared" si="23"/>
        <v>0</v>
      </c>
      <c r="X127" s="61">
        <f t="shared" si="24"/>
        <v>0</v>
      </c>
      <c r="Y127" s="61"/>
      <c r="Z127" s="61"/>
      <c r="AA127" s="61"/>
      <c r="AB127" s="61"/>
      <c r="AC127" s="61"/>
      <c r="AD127" s="61"/>
      <c r="AE127" s="49">
        <f t="shared" si="25"/>
        <v>0</v>
      </c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49">
        <f t="shared" si="26"/>
        <v>0</v>
      </c>
    </row>
    <row r="128" spans="1:57" ht="15" hidden="1" customHeight="1" x14ac:dyDescent="0.2">
      <c r="A128" s="36">
        <v>117</v>
      </c>
      <c r="B128" s="59"/>
      <c r="C128" s="38"/>
      <c r="D128" s="38" t="e">
        <f>VLOOKUP(C128,Planilha1!$J$2:$L$206,3,)</f>
        <v>#N/A</v>
      </c>
      <c r="E128" s="39"/>
      <c r="F128" s="40"/>
      <c r="G128" s="49"/>
      <c r="H128" s="60">
        <f t="shared" si="19"/>
        <v>0</v>
      </c>
      <c r="I128" s="49">
        <f t="shared" si="20"/>
        <v>0</v>
      </c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49">
        <f t="shared" si="21"/>
        <v>0</v>
      </c>
      <c r="V128" s="29">
        <f t="shared" si="22"/>
        <v>0</v>
      </c>
      <c r="W128" s="29">
        <f t="shared" si="23"/>
        <v>0</v>
      </c>
      <c r="X128" s="61">
        <f t="shared" si="24"/>
        <v>0</v>
      </c>
      <c r="Y128" s="61"/>
      <c r="Z128" s="61"/>
      <c r="AA128" s="61"/>
      <c r="AB128" s="61"/>
      <c r="AC128" s="61"/>
      <c r="AD128" s="61"/>
      <c r="AE128" s="49">
        <f t="shared" si="25"/>
        <v>0</v>
      </c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49">
        <f t="shared" si="26"/>
        <v>0</v>
      </c>
    </row>
    <row r="129" spans="1:57" ht="15" hidden="1" customHeight="1" x14ac:dyDescent="0.2">
      <c r="A129" s="36">
        <v>118</v>
      </c>
      <c r="B129" s="59"/>
      <c r="C129" s="38"/>
      <c r="D129" s="38" t="e">
        <f>VLOOKUP(C129,Planilha1!$J$2:$L$206,3,)</f>
        <v>#N/A</v>
      </c>
      <c r="E129" s="39"/>
      <c r="F129" s="40"/>
      <c r="G129" s="49"/>
      <c r="H129" s="60">
        <f t="shared" si="19"/>
        <v>0</v>
      </c>
      <c r="I129" s="49">
        <f t="shared" si="20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49">
        <f t="shared" si="21"/>
        <v>0</v>
      </c>
      <c r="V129" s="29">
        <f t="shared" si="22"/>
        <v>0</v>
      </c>
      <c r="W129" s="29">
        <f t="shared" si="23"/>
        <v>0</v>
      </c>
      <c r="X129" s="61">
        <f t="shared" si="24"/>
        <v>0</v>
      </c>
      <c r="Y129" s="61"/>
      <c r="Z129" s="61"/>
      <c r="AA129" s="61"/>
      <c r="AB129" s="61"/>
      <c r="AC129" s="61"/>
      <c r="AD129" s="61"/>
      <c r="AE129" s="49">
        <f t="shared" si="25"/>
        <v>0</v>
      </c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49">
        <f t="shared" si="26"/>
        <v>0</v>
      </c>
    </row>
    <row r="130" spans="1:57" ht="15" hidden="1" customHeight="1" x14ac:dyDescent="0.2">
      <c r="A130" s="36">
        <v>119</v>
      </c>
      <c r="B130" s="59"/>
      <c r="C130" s="38"/>
      <c r="D130" s="38" t="e">
        <f>VLOOKUP(C130,Planilha1!$J$2:$L$206,3,)</f>
        <v>#N/A</v>
      </c>
      <c r="E130" s="39"/>
      <c r="F130" s="40"/>
      <c r="G130" s="49"/>
      <c r="H130" s="60">
        <f t="shared" si="19"/>
        <v>0</v>
      </c>
      <c r="I130" s="49">
        <f t="shared" si="20"/>
        <v>0</v>
      </c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49">
        <f t="shared" si="21"/>
        <v>0</v>
      </c>
      <c r="V130" s="29">
        <f t="shared" si="22"/>
        <v>0</v>
      </c>
      <c r="W130" s="29">
        <f t="shared" si="23"/>
        <v>0</v>
      </c>
      <c r="X130" s="61">
        <f t="shared" si="24"/>
        <v>0</v>
      </c>
      <c r="Y130" s="61"/>
      <c r="Z130" s="61"/>
      <c r="AA130" s="61"/>
      <c r="AB130" s="61"/>
      <c r="AC130" s="61"/>
      <c r="AD130" s="61"/>
      <c r="AE130" s="49">
        <f t="shared" si="25"/>
        <v>0</v>
      </c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49">
        <f t="shared" si="26"/>
        <v>0</v>
      </c>
    </row>
    <row r="131" spans="1:57" ht="15" hidden="1" customHeight="1" x14ac:dyDescent="0.2">
      <c r="A131" s="36">
        <v>120</v>
      </c>
      <c r="B131" s="59"/>
      <c r="C131" s="38"/>
      <c r="D131" s="38" t="e">
        <f>VLOOKUP(C131,Planilha1!$J$2:$L$206,3,)</f>
        <v>#N/A</v>
      </c>
      <c r="E131" s="39"/>
      <c r="F131" s="40"/>
      <c r="G131" s="49"/>
      <c r="H131" s="60">
        <f t="shared" si="19"/>
        <v>0</v>
      </c>
      <c r="I131" s="49">
        <f t="shared" si="20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49">
        <f t="shared" si="21"/>
        <v>0</v>
      </c>
      <c r="V131" s="29">
        <f t="shared" si="22"/>
        <v>0</v>
      </c>
      <c r="W131" s="29">
        <f t="shared" si="23"/>
        <v>0</v>
      </c>
      <c r="X131" s="61">
        <f t="shared" si="24"/>
        <v>0</v>
      </c>
      <c r="Y131" s="61"/>
      <c r="Z131" s="61"/>
      <c r="AA131" s="61"/>
      <c r="AB131" s="61"/>
      <c r="AC131" s="61"/>
      <c r="AD131" s="61"/>
      <c r="AE131" s="49">
        <f t="shared" si="25"/>
        <v>0</v>
      </c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49">
        <f t="shared" si="26"/>
        <v>0</v>
      </c>
    </row>
    <row r="132" spans="1:57" ht="15" hidden="1" customHeight="1" x14ac:dyDescent="0.2">
      <c r="A132" s="36">
        <v>121</v>
      </c>
      <c r="B132" s="59"/>
      <c r="C132" s="38"/>
      <c r="D132" s="38" t="e">
        <f>VLOOKUP(C132,Planilha1!$J$2:$L$206,3,)</f>
        <v>#N/A</v>
      </c>
      <c r="E132" s="39"/>
      <c r="F132" s="40"/>
      <c r="G132" s="49"/>
      <c r="H132" s="60">
        <f t="shared" si="19"/>
        <v>0</v>
      </c>
      <c r="I132" s="49">
        <f t="shared" si="20"/>
        <v>0</v>
      </c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49">
        <f t="shared" si="21"/>
        <v>0</v>
      </c>
      <c r="V132" s="29">
        <f t="shared" si="22"/>
        <v>0</v>
      </c>
      <c r="W132" s="29">
        <f t="shared" si="23"/>
        <v>0</v>
      </c>
      <c r="X132" s="61">
        <f t="shared" si="24"/>
        <v>0</v>
      </c>
      <c r="Y132" s="61"/>
      <c r="Z132" s="61"/>
      <c r="AA132" s="61"/>
      <c r="AB132" s="61"/>
      <c r="AC132" s="61"/>
      <c r="AD132" s="61"/>
      <c r="AE132" s="49">
        <f t="shared" si="25"/>
        <v>0</v>
      </c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49">
        <f t="shared" si="26"/>
        <v>0</v>
      </c>
    </row>
    <row r="133" spans="1:57" ht="15" hidden="1" customHeight="1" x14ac:dyDescent="0.2">
      <c r="A133" s="36">
        <v>122</v>
      </c>
      <c r="B133" s="59"/>
      <c r="C133" s="38"/>
      <c r="D133" s="38" t="e">
        <f>VLOOKUP(C133,Planilha1!$J$2:$L$206,3,)</f>
        <v>#N/A</v>
      </c>
      <c r="E133" s="39"/>
      <c r="F133" s="40"/>
      <c r="G133" s="49"/>
      <c r="H133" s="60">
        <f t="shared" si="19"/>
        <v>0</v>
      </c>
      <c r="I133" s="49">
        <f t="shared" si="20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49">
        <f t="shared" si="21"/>
        <v>0</v>
      </c>
      <c r="V133" s="29">
        <f t="shared" si="22"/>
        <v>0</v>
      </c>
      <c r="W133" s="29">
        <f t="shared" si="23"/>
        <v>0</v>
      </c>
      <c r="X133" s="61">
        <f t="shared" si="24"/>
        <v>0</v>
      </c>
      <c r="Y133" s="61"/>
      <c r="Z133" s="61"/>
      <c r="AA133" s="61"/>
      <c r="AB133" s="61"/>
      <c r="AC133" s="61"/>
      <c r="AD133" s="61"/>
      <c r="AE133" s="49">
        <f t="shared" si="25"/>
        <v>0</v>
      </c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49">
        <f t="shared" si="26"/>
        <v>0</v>
      </c>
    </row>
    <row r="134" spans="1:57" ht="15" hidden="1" customHeight="1" x14ac:dyDescent="0.2">
      <c r="A134" s="36">
        <v>123</v>
      </c>
      <c r="B134" s="59"/>
      <c r="C134" s="38"/>
      <c r="D134" s="38" t="e">
        <f>VLOOKUP(C134,Planilha1!$J$2:$L$206,3,)</f>
        <v>#N/A</v>
      </c>
      <c r="E134" s="39"/>
      <c r="F134" s="40"/>
      <c r="G134" s="49"/>
      <c r="H134" s="60">
        <f t="shared" si="19"/>
        <v>0</v>
      </c>
      <c r="I134" s="49">
        <f t="shared" si="20"/>
        <v>0</v>
      </c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49">
        <f t="shared" si="21"/>
        <v>0</v>
      </c>
      <c r="V134" s="29">
        <f t="shared" si="22"/>
        <v>0</v>
      </c>
      <c r="W134" s="29">
        <f t="shared" si="23"/>
        <v>0</v>
      </c>
      <c r="X134" s="61">
        <f t="shared" si="24"/>
        <v>0</v>
      </c>
      <c r="Y134" s="61"/>
      <c r="Z134" s="61"/>
      <c r="AA134" s="61"/>
      <c r="AB134" s="61"/>
      <c r="AC134" s="61"/>
      <c r="AD134" s="61"/>
      <c r="AE134" s="49">
        <f t="shared" si="25"/>
        <v>0</v>
      </c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49">
        <f t="shared" si="26"/>
        <v>0</v>
      </c>
    </row>
    <row r="135" spans="1:57" ht="15" hidden="1" customHeight="1" x14ac:dyDescent="0.2">
      <c r="A135" s="36">
        <v>124</v>
      </c>
      <c r="B135" s="59"/>
      <c r="C135" s="38"/>
      <c r="D135" s="38" t="e">
        <f>VLOOKUP(C135,Planilha1!$J$2:$L$206,3,)</f>
        <v>#N/A</v>
      </c>
      <c r="E135" s="39"/>
      <c r="F135" s="40"/>
      <c r="G135" s="49"/>
      <c r="H135" s="60">
        <f t="shared" si="19"/>
        <v>0</v>
      </c>
      <c r="I135" s="49">
        <f t="shared" si="20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49">
        <f t="shared" si="21"/>
        <v>0</v>
      </c>
      <c r="V135" s="29">
        <f t="shared" si="22"/>
        <v>0</v>
      </c>
      <c r="W135" s="29">
        <f t="shared" si="23"/>
        <v>0</v>
      </c>
      <c r="X135" s="61">
        <f t="shared" si="24"/>
        <v>0</v>
      </c>
      <c r="Y135" s="61"/>
      <c r="Z135" s="61"/>
      <c r="AA135" s="61"/>
      <c r="AB135" s="61"/>
      <c r="AC135" s="61"/>
      <c r="AD135" s="61"/>
      <c r="AE135" s="49">
        <f t="shared" si="25"/>
        <v>0</v>
      </c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49">
        <f t="shared" si="26"/>
        <v>0</v>
      </c>
    </row>
    <row r="136" spans="1:57" ht="15" hidden="1" customHeight="1" x14ac:dyDescent="0.2">
      <c r="A136" s="36">
        <v>125</v>
      </c>
      <c r="B136" s="59"/>
      <c r="C136" s="38"/>
      <c r="D136" s="38" t="e">
        <f>VLOOKUP(C136,Planilha1!$J$2:$L$206,3,)</f>
        <v>#N/A</v>
      </c>
      <c r="E136" s="39"/>
      <c r="F136" s="40"/>
      <c r="G136" s="49"/>
      <c r="H136" s="60">
        <f t="shared" si="19"/>
        <v>0</v>
      </c>
      <c r="I136" s="49">
        <f t="shared" si="20"/>
        <v>0</v>
      </c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49">
        <f t="shared" si="21"/>
        <v>0</v>
      </c>
      <c r="V136" s="29">
        <f t="shared" si="22"/>
        <v>0</v>
      </c>
      <c r="W136" s="29">
        <f t="shared" si="23"/>
        <v>0</v>
      </c>
      <c r="X136" s="61">
        <f t="shared" si="24"/>
        <v>0</v>
      </c>
      <c r="Y136" s="61"/>
      <c r="Z136" s="61"/>
      <c r="AA136" s="61"/>
      <c r="AB136" s="61"/>
      <c r="AC136" s="61"/>
      <c r="AD136" s="61"/>
      <c r="AE136" s="49">
        <f t="shared" si="25"/>
        <v>0</v>
      </c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49">
        <f t="shared" si="26"/>
        <v>0</v>
      </c>
    </row>
    <row r="137" spans="1:57" ht="15" hidden="1" customHeight="1" x14ac:dyDescent="0.2">
      <c r="A137" s="36">
        <v>126</v>
      </c>
      <c r="B137" s="59"/>
      <c r="C137" s="38"/>
      <c r="D137" s="38" t="e">
        <f>VLOOKUP(C137,Planilha1!$J$2:$L$206,3,)</f>
        <v>#N/A</v>
      </c>
      <c r="E137" s="39"/>
      <c r="F137" s="40"/>
      <c r="G137" s="49"/>
      <c r="H137" s="60">
        <f t="shared" si="19"/>
        <v>0</v>
      </c>
      <c r="I137" s="49">
        <f t="shared" si="20"/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49">
        <f t="shared" si="21"/>
        <v>0</v>
      </c>
      <c r="V137" s="29">
        <f t="shared" si="22"/>
        <v>0</v>
      </c>
      <c r="W137" s="29">
        <f t="shared" si="23"/>
        <v>0</v>
      </c>
      <c r="X137" s="61">
        <f t="shared" si="24"/>
        <v>0</v>
      </c>
      <c r="Y137" s="61"/>
      <c r="Z137" s="61"/>
      <c r="AA137" s="61"/>
      <c r="AB137" s="61"/>
      <c r="AC137" s="61"/>
      <c r="AD137" s="61"/>
      <c r="AE137" s="49">
        <f t="shared" si="25"/>
        <v>0</v>
      </c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49">
        <f t="shared" si="26"/>
        <v>0</v>
      </c>
    </row>
    <row r="138" spans="1:57" ht="15" hidden="1" customHeight="1" x14ac:dyDescent="0.2">
      <c r="A138" s="36">
        <v>127</v>
      </c>
      <c r="B138" s="59"/>
      <c r="C138" s="38"/>
      <c r="D138" s="38" t="e">
        <f>VLOOKUP(C138,Planilha1!$J$2:$L$206,3,)</f>
        <v>#N/A</v>
      </c>
      <c r="E138" s="39"/>
      <c r="F138" s="40"/>
      <c r="G138" s="49"/>
      <c r="H138" s="60">
        <f t="shared" si="19"/>
        <v>0</v>
      </c>
      <c r="I138" s="49">
        <f t="shared" si="20"/>
        <v>0</v>
      </c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49">
        <f t="shared" si="21"/>
        <v>0</v>
      </c>
      <c r="V138" s="29">
        <f t="shared" si="22"/>
        <v>0</v>
      </c>
      <c r="W138" s="29">
        <f t="shared" si="23"/>
        <v>0</v>
      </c>
      <c r="X138" s="61">
        <f t="shared" si="24"/>
        <v>0</v>
      </c>
      <c r="Y138" s="61"/>
      <c r="Z138" s="61"/>
      <c r="AA138" s="61"/>
      <c r="AB138" s="61"/>
      <c r="AC138" s="61"/>
      <c r="AD138" s="61"/>
      <c r="AE138" s="49">
        <f t="shared" si="25"/>
        <v>0</v>
      </c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49">
        <f t="shared" si="26"/>
        <v>0</v>
      </c>
    </row>
    <row r="139" spans="1:57" ht="15" hidden="1" customHeight="1" x14ac:dyDescent="0.2">
      <c r="A139" s="36">
        <v>128</v>
      </c>
      <c r="B139" s="59"/>
      <c r="C139" s="38"/>
      <c r="D139" s="38" t="e">
        <f>VLOOKUP(C139,Planilha1!$J$2:$L$206,3,)</f>
        <v>#N/A</v>
      </c>
      <c r="E139" s="39"/>
      <c r="F139" s="40"/>
      <c r="G139" s="49"/>
      <c r="H139" s="60">
        <f t="shared" si="19"/>
        <v>0</v>
      </c>
      <c r="I139" s="49">
        <f t="shared" si="20"/>
        <v>0</v>
      </c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49">
        <f t="shared" si="21"/>
        <v>0</v>
      </c>
      <c r="V139" s="29">
        <f t="shared" si="22"/>
        <v>0</v>
      </c>
      <c r="W139" s="29">
        <f t="shared" si="23"/>
        <v>0</v>
      </c>
      <c r="X139" s="61">
        <f t="shared" si="24"/>
        <v>0</v>
      </c>
      <c r="Y139" s="61"/>
      <c r="Z139" s="61"/>
      <c r="AA139" s="61"/>
      <c r="AB139" s="61"/>
      <c r="AC139" s="61"/>
      <c r="AD139" s="61"/>
      <c r="AE139" s="49">
        <f t="shared" si="25"/>
        <v>0</v>
      </c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49">
        <f t="shared" si="26"/>
        <v>0</v>
      </c>
    </row>
    <row r="140" spans="1:57" ht="15" hidden="1" customHeight="1" x14ac:dyDescent="0.2">
      <c r="A140" s="36">
        <v>129</v>
      </c>
      <c r="B140" s="59"/>
      <c r="C140" s="38"/>
      <c r="D140" s="38" t="e">
        <f>VLOOKUP(C140,Planilha1!$J$2:$L$206,3,)</f>
        <v>#N/A</v>
      </c>
      <c r="E140" s="39"/>
      <c r="F140" s="40"/>
      <c r="G140" s="49"/>
      <c r="H140" s="60">
        <f t="shared" si="19"/>
        <v>0</v>
      </c>
      <c r="I140" s="49">
        <f t="shared" si="20"/>
        <v>0</v>
      </c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49">
        <f t="shared" si="21"/>
        <v>0</v>
      </c>
      <c r="V140" s="29">
        <f t="shared" si="22"/>
        <v>0</v>
      </c>
      <c r="W140" s="29">
        <f t="shared" si="23"/>
        <v>0</v>
      </c>
      <c r="X140" s="61">
        <f t="shared" si="24"/>
        <v>0</v>
      </c>
      <c r="Y140" s="61"/>
      <c r="Z140" s="61"/>
      <c r="AA140" s="61"/>
      <c r="AB140" s="61"/>
      <c r="AC140" s="61"/>
      <c r="AD140" s="61"/>
      <c r="AE140" s="49">
        <f t="shared" si="25"/>
        <v>0</v>
      </c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49">
        <f t="shared" si="26"/>
        <v>0</v>
      </c>
    </row>
    <row r="141" spans="1:57" ht="15" hidden="1" customHeight="1" x14ac:dyDescent="0.2">
      <c r="A141" s="36">
        <v>130</v>
      </c>
      <c r="B141" s="59"/>
      <c r="C141" s="38"/>
      <c r="D141" s="38" t="e">
        <f>VLOOKUP(C141,Planilha1!$J$2:$L$206,3,)</f>
        <v>#N/A</v>
      </c>
      <c r="E141" s="39"/>
      <c r="F141" s="40"/>
      <c r="G141" s="49"/>
      <c r="H141" s="60">
        <f t="shared" si="19"/>
        <v>0</v>
      </c>
      <c r="I141" s="49">
        <f t="shared" si="20"/>
        <v>0</v>
      </c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49">
        <f t="shared" si="21"/>
        <v>0</v>
      </c>
      <c r="V141" s="29">
        <f t="shared" si="22"/>
        <v>0</v>
      </c>
      <c r="W141" s="29">
        <f t="shared" si="23"/>
        <v>0</v>
      </c>
      <c r="X141" s="61">
        <f t="shared" si="24"/>
        <v>0</v>
      </c>
      <c r="Y141" s="61"/>
      <c r="Z141" s="61"/>
      <c r="AA141" s="61"/>
      <c r="AB141" s="61"/>
      <c r="AC141" s="61"/>
      <c r="AD141" s="61"/>
      <c r="AE141" s="49">
        <f t="shared" si="25"/>
        <v>0</v>
      </c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49">
        <f t="shared" si="26"/>
        <v>0</v>
      </c>
    </row>
    <row r="142" spans="1:57" ht="15" hidden="1" customHeight="1" x14ac:dyDescent="0.2">
      <c r="A142" s="36">
        <v>131</v>
      </c>
      <c r="B142" s="59"/>
      <c r="C142" s="38"/>
      <c r="D142" s="38" t="e">
        <f>VLOOKUP(C142,Planilha1!$J$2:$L$206,3,)</f>
        <v>#N/A</v>
      </c>
      <c r="E142" s="39"/>
      <c r="F142" s="40"/>
      <c r="G142" s="49"/>
      <c r="H142" s="60">
        <f t="shared" si="19"/>
        <v>0</v>
      </c>
      <c r="I142" s="49">
        <f t="shared" si="20"/>
        <v>0</v>
      </c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49">
        <f t="shared" si="21"/>
        <v>0</v>
      </c>
      <c r="V142" s="29">
        <f t="shared" si="22"/>
        <v>0</v>
      </c>
      <c r="W142" s="29">
        <f t="shared" si="23"/>
        <v>0</v>
      </c>
      <c r="X142" s="61">
        <f t="shared" si="24"/>
        <v>0</v>
      </c>
      <c r="Y142" s="61"/>
      <c r="Z142" s="61"/>
      <c r="AA142" s="61"/>
      <c r="AB142" s="61"/>
      <c r="AC142" s="61"/>
      <c r="AD142" s="61"/>
      <c r="AE142" s="49">
        <f t="shared" si="25"/>
        <v>0</v>
      </c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49">
        <f t="shared" si="26"/>
        <v>0</v>
      </c>
    </row>
    <row r="143" spans="1:57" ht="15" hidden="1" customHeight="1" x14ac:dyDescent="0.2">
      <c r="A143" s="36">
        <v>132</v>
      </c>
      <c r="B143" s="59"/>
      <c r="C143" s="38"/>
      <c r="D143" s="38" t="e">
        <f>VLOOKUP(C143,Planilha1!$J$2:$L$206,3,)</f>
        <v>#N/A</v>
      </c>
      <c r="E143" s="39"/>
      <c r="F143" s="40"/>
      <c r="G143" s="49"/>
      <c r="H143" s="60">
        <f t="shared" si="19"/>
        <v>0</v>
      </c>
      <c r="I143" s="49">
        <f t="shared" si="20"/>
        <v>0</v>
      </c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49">
        <f t="shared" si="21"/>
        <v>0</v>
      </c>
      <c r="V143" s="29">
        <f t="shared" si="22"/>
        <v>0</v>
      </c>
      <c r="W143" s="29">
        <f t="shared" si="23"/>
        <v>0</v>
      </c>
      <c r="X143" s="61">
        <f t="shared" si="24"/>
        <v>0</v>
      </c>
      <c r="Y143" s="61"/>
      <c r="Z143" s="61"/>
      <c r="AA143" s="61"/>
      <c r="AB143" s="61"/>
      <c r="AC143" s="61"/>
      <c r="AD143" s="61"/>
      <c r="AE143" s="49">
        <f t="shared" si="25"/>
        <v>0</v>
      </c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49">
        <f t="shared" si="26"/>
        <v>0</v>
      </c>
    </row>
    <row r="144" spans="1:57" ht="15" hidden="1" customHeight="1" x14ac:dyDescent="0.2">
      <c r="A144" s="36">
        <v>133</v>
      </c>
      <c r="B144" s="59"/>
      <c r="C144" s="38"/>
      <c r="D144" s="38" t="e">
        <f>VLOOKUP(C144,Planilha1!$J$2:$L$206,3,)</f>
        <v>#N/A</v>
      </c>
      <c r="E144" s="39"/>
      <c r="F144" s="40"/>
      <c r="G144" s="49"/>
      <c r="H144" s="60">
        <f t="shared" si="19"/>
        <v>0</v>
      </c>
      <c r="I144" s="49">
        <f t="shared" si="20"/>
        <v>0</v>
      </c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49">
        <f t="shared" si="21"/>
        <v>0</v>
      </c>
      <c r="V144" s="29">
        <f t="shared" si="22"/>
        <v>0</v>
      </c>
      <c r="W144" s="29">
        <f t="shared" si="23"/>
        <v>0</v>
      </c>
      <c r="X144" s="61">
        <f t="shared" si="24"/>
        <v>0</v>
      </c>
      <c r="Y144" s="61"/>
      <c r="Z144" s="61"/>
      <c r="AA144" s="61"/>
      <c r="AB144" s="61"/>
      <c r="AC144" s="61"/>
      <c r="AD144" s="61"/>
      <c r="AE144" s="49">
        <f t="shared" si="25"/>
        <v>0</v>
      </c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49">
        <f t="shared" si="26"/>
        <v>0</v>
      </c>
    </row>
    <row r="145" spans="1:57" ht="15" hidden="1" customHeight="1" x14ac:dyDescent="0.2">
      <c r="A145" s="36">
        <v>134</v>
      </c>
      <c r="B145" s="59"/>
      <c r="C145" s="38"/>
      <c r="D145" s="38" t="e">
        <f>VLOOKUP(C145,Planilha1!$J$2:$L$206,3,)</f>
        <v>#N/A</v>
      </c>
      <c r="E145" s="39"/>
      <c r="F145" s="40"/>
      <c r="G145" s="49"/>
      <c r="H145" s="60">
        <f t="shared" si="19"/>
        <v>0</v>
      </c>
      <c r="I145" s="49">
        <f t="shared" si="20"/>
        <v>0</v>
      </c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49">
        <f t="shared" si="21"/>
        <v>0</v>
      </c>
      <c r="V145" s="29">
        <f t="shared" si="22"/>
        <v>0</v>
      </c>
      <c r="W145" s="29">
        <f t="shared" si="23"/>
        <v>0</v>
      </c>
      <c r="X145" s="61">
        <f t="shared" si="24"/>
        <v>0</v>
      </c>
      <c r="Y145" s="61"/>
      <c r="Z145" s="61"/>
      <c r="AA145" s="61"/>
      <c r="AB145" s="61"/>
      <c r="AC145" s="61"/>
      <c r="AD145" s="61"/>
      <c r="AE145" s="49">
        <f t="shared" si="25"/>
        <v>0</v>
      </c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49">
        <f t="shared" si="26"/>
        <v>0</v>
      </c>
    </row>
    <row r="146" spans="1:57" ht="15" hidden="1" customHeight="1" x14ac:dyDescent="0.2">
      <c r="A146" s="36">
        <v>135</v>
      </c>
      <c r="B146" s="59"/>
      <c r="C146" s="38"/>
      <c r="D146" s="38" t="e">
        <f>VLOOKUP(C146,Planilha1!$J$2:$L$206,3,)</f>
        <v>#N/A</v>
      </c>
      <c r="E146" s="39"/>
      <c r="F146" s="40"/>
      <c r="G146" s="49"/>
      <c r="H146" s="60">
        <f t="shared" si="19"/>
        <v>0</v>
      </c>
      <c r="I146" s="49">
        <f t="shared" si="20"/>
        <v>0</v>
      </c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49">
        <f t="shared" si="21"/>
        <v>0</v>
      </c>
      <c r="V146" s="29">
        <f t="shared" si="22"/>
        <v>0</v>
      </c>
      <c r="W146" s="29">
        <f t="shared" si="23"/>
        <v>0</v>
      </c>
      <c r="X146" s="61">
        <f t="shared" si="24"/>
        <v>0</v>
      </c>
      <c r="Y146" s="61"/>
      <c r="Z146" s="61"/>
      <c r="AA146" s="61"/>
      <c r="AB146" s="61"/>
      <c r="AC146" s="61"/>
      <c r="AD146" s="61"/>
      <c r="AE146" s="49">
        <f t="shared" si="25"/>
        <v>0</v>
      </c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49">
        <f t="shared" si="26"/>
        <v>0</v>
      </c>
    </row>
    <row r="147" spans="1:57" ht="15" hidden="1" customHeight="1" x14ac:dyDescent="0.2">
      <c r="A147" s="36">
        <v>136</v>
      </c>
      <c r="B147" s="59"/>
      <c r="C147" s="38"/>
      <c r="D147" s="38" t="e">
        <f>VLOOKUP(C147,Planilha1!$J$2:$L$206,3,)</f>
        <v>#N/A</v>
      </c>
      <c r="E147" s="39"/>
      <c r="F147" s="40"/>
      <c r="G147" s="49"/>
      <c r="H147" s="60">
        <f t="shared" si="19"/>
        <v>0</v>
      </c>
      <c r="I147" s="49">
        <f t="shared" si="20"/>
        <v>0</v>
      </c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49">
        <f t="shared" si="21"/>
        <v>0</v>
      </c>
      <c r="V147" s="29">
        <f t="shared" si="22"/>
        <v>0</v>
      </c>
      <c r="W147" s="29">
        <f t="shared" si="23"/>
        <v>0</v>
      </c>
      <c r="X147" s="61">
        <f t="shared" si="24"/>
        <v>0</v>
      </c>
      <c r="Y147" s="61"/>
      <c r="Z147" s="61"/>
      <c r="AA147" s="61"/>
      <c r="AB147" s="61"/>
      <c r="AC147" s="61"/>
      <c r="AD147" s="61"/>
      <c r="AE147" s="49">
        <f t="shared" si="25"/>
        <v>0</v>
      </c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49">
        <f t="shared" si="26"/>
        <v>0</v>
      </c>
    </row>
    <row r="148" spans="1:57" ht="15" hidden="1" customHeight="1" x14ac:dyDescent="0.2">
      <c r="A148" s="36">
        <v>137</v>
      </c>
      <c r="B148" s="59"/>
      <c r="C148" s="38"/>
      <c r="D148" s="38" t="e">
        <f>VLOOKUP(C148,Planilha1!$J$2:$L$206,3,)</f>
        <v>#N/A</v>
      </c>
      <c r="E148" s="39"/>
      <c r="F148" s="40"/>
      <c r="G148" s="49"/>
      <c r="H148" s="60">
        <f t="shared" si="19"/>
        <v>0</v>
      </c>
      <c r="I148" s="49">
        <f t="shared" si="20"/>
        <v>0</v>
      </c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49">
        <f t="shared" si="21"/>
        <v>0</v>
      </c>
      <c r="V148" s="29">
        <f t="shared" si="22"/>
        <v>0</v>
      </c>
      <c r="W148" s="29">
        <f t="shared" si="23"/>
        <v>0</v>
      </c>
      <c r="X148" s="61">
        <f t="shared" si="24"/>
        <v>0</v>
      </c>
      <c r="Y148" s="61"/>
      <c r="Z148" s="61"/>
      <c r="AA148" s="61"/>
      <c r="AB148" s="61"/>
      <c r="AC148" s="61"/>
      <c r="AD148" s="61"/>
      <c r="AE148" s="49">
        <f t="shared" si="25"/>
        <v>0</v>
      </c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49">
        <f t="shared" si="26"/>
        <v>0</v>
      </c>
    </row>
    <row r="149" spans="1:57" ht="15" hidden="1" customHeight="1" x14ac:dyDescent="0.2">
      <c r="A149" s="36">
        <v>138</v>
      </c>
      <c r="B149" s="59"/>
      <c r="C149" s="38"/>
      <c r="D149" s="38" t="e">
        <f>VLOOKUP(C149,Planilha1!$J$2:$L$206,3,)</f>
        <v>#N/A</v>
      </c>
      <c r="E149" s="39"/>
      <c r="F149" s="40"/>
      <c r="G149" s="49"/>
      <c r="H149" s="60">
        <f t="shared" si="19"/>
        <v>0</v>
      </c>
      <c r="I149" s="49">
        <f t="shared" si="20"/>
        <v>0</v>
      </c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49">
        <f t="shared" si="21"/>
        <v>0</v>
      </c>
      <c r="V149" s="29">
        <f t="shared" si="22"/>
        <v>0</v>
      </c>
      <c r="W149" s="29">
        <f t="shared" si="23"/>
        <v>0</v>
      </c>
      <c r="X149" s="61">
        <f t="shared" si="24"/>
        <v>0</v>
      </c>
      <c r="Y149" s="61"/>
      <c r="Z149" s="61"/>
      <c r="AA149" s="61"/>
      <c r="AB149" s="61"/>
      <c r="AC149" s="61"/>
      <c r="AD149" s="61"/>
      <c r="AE149" s="49">
        <f t="shared" si="25"/>
        <v>0</v>
      </c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49">
        <f t="shared" si="26"/>
        <v>0</v>
      </c>
    </row>
    <row r="150" spans="1:57" ht="15" hidden="1" customHeight="1" x14ac:dyDescent="0.2">
      <c r="A150" s="36">
        <v>139</v>
      </c>
      <c r="B150" s="59"/>
      <c r="C150" s="38"/>
      <c r="D150" s="38" t="e">
        <f>VLOOKUP(C150,Planilha1!$J$2:$L$206,3,)</f>
        <v>#N/A</v>
      </c>
      <c r="E150" s="39"/>
      <c r="F150" s="40"/>
      <c r="G150" s="49"/>
      <c r="H150" s="60">
        <f t="shared" si="19"/>
        <v>0</v>
      </c>
      <c r="I150" s="49">
        <f t="shared" si="20"/>
        <v>0</v>
      </c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49">
        <f t="shared" si="21"/>
        <v>0</v>
      </c>
      <c r="V150" s="29">
        <f t="shared" si="22"/>
        <v>0</v>
      </c>
      <c r="W150" s="29">
        <f t="shared" si="23"/>
        <v>0</v>
      </c>
      <c r="X150" s="61">
        <f t="shared" si="24"/>
        <v>0</v>
      </c>
      <c r="Y150" s="61"/>
      <c r="Z150" s="61"/>
      <c r="AA150" s="61"/>
      <c r="AB150" s="61"/>
      <c r="AC150" s="61"/>
      <c r="AD150" s="61"/>
      <c r="AE150" s="49">
        <f t="shared" si="25"/>
        <v>0</v>
      </c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49">
        <f t="shared" si="26"/>
        <v>0</v>
      </c>
    </row>
    <row r="151" spans="1:57" ht="15" hidden="1" customHeight="1" x14ac:dyDescent="0.2">
      <c r="A151" s="36">
        <v>140</v>
      </c>
      <c r="B151" s="59"/>
      <c r="C151" s="38"/>
      <c r="D151" s="38" t="e">
        <f>VLOOKUP(C151,Planilha1!$J$2:$L$206,3,)</f>
        <v>#N/A</v>
      </c>
      <c r="E151" s="39"/>
      <c r="F151" s="40"/>
      <c r="G151" s="49"/>
      <c r="H151" s="60">
        <f t="shared" si="19"/>
        <v>0</v>
      </c>
      <c r="I151" s="49">
        <f t="shared" si="20"/>
        <v>0</v>
      </c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49">
        <f t="shared" si="21"/>
        <v>0</v>
      </c>
      <c r="V151" s="29">
        <f t="shared" si="22"/>
        <v>0</v>
      </c>
      <c r="W151" s="29">
        <f t="shared" si="23"/>
        <v>0</v>
      </c>
      <c r="X151" s="61">
        <f t="shared" si="24"/>
        <v>0</v>
      </c>
      <c r="Y151" s="61"/>
      <c r="Z151" s="61"/>
      <c r="AA151" s="61"/>
      <c r="AB151" s="61"/>
      <c r="AC151" s="61"/>
      <c r="AD151" s="61"/>
      <c r="AE151" s="49">
        <f t="shared" si="25"/>
        <v>0</v>
      </c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49">
        <f t="shared" si="26"/>
        <v>0</v>
      </c>
    </row>
    <row r="152" spans="1:57" ht="15" hidden="1" customHeight="1" x14ac:dyDescent="0.2">
      <c r="A152" s="36">
        <v>141</v>
      </c>
      <c r="B152" s="59"/>
      <c r="C152" s="38"/>
      <c r="D152" s="38" t="e">
        <f>VLOOKUP(C152,Planilha1!$J$2:$L$206,3,)</f>
        <v>#N/A</v>
      </c>
      <c r="E152" s="39"/>
      <c r="F152" s="40"/>
      <c r="G152" s="49"/>
      <c r="H152" s="60">
        <f t="shared" si="19"/>
        <v>0</v>
      </c>
      <c r="I152" s="49">
        <f t="shared" si="20"/>
        <v>0</v>
      </c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49">
        <f t="shared" si="21"/>
        <v>0</v>
      </c>
      <c r="V152" s="29">
        <f t="shared" si="22"/>
        <v>0</v>
      </c>
      <c r="W152" s="29">
        <f t="shared" si="23"/>
        <v>0</v>
      </c>
      <c r="X152" s="61">
        <f t="shared" si="24"/>
        <v>0</v>
      </c>
      <c r="Y152" s="61"/>
      <c r="Z152" s="61"/>
      <c r="AA152" s="61"/>
      <c r="AB152" s="61"/>
      <c r="AC152" s="61"/>
      <c r="AD152" s="61"/>
      <c r="AE152" s="49">
        <f t="shared" si="25"/>
        <v>0</v>
      </c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49">
        <f t="shared" si="26"/>
        <v>0</v>
      </c>
    </row>
    <row r="153" spans="1:57" ht="15" hidden="1" customHeight="1" x14ac:dyDescent="0.2">
      <c r="A153" s="36">
        <v>142</v>
      </c>
      <c r="B153" s="59"/>
      <c r="C153" s="38"/>
      <c r="D153" s="38" t="e">
        <f>VLOOKUP(C153,Planilha1!$J$2:$L$206,3,)</f>
        <v>#N/A</v>
      </c>
      <c r="E153" s="39"/>
      <c r="F153" s="40"/>
      <c r="G153" s="49"/>
      <c r="H153" s="60">
        <f t="shared" si="19"/>
        <v>0</v>
      </c>
      <c r="I153" s="49">
        <f t="shared" si="20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49">
        <f t="shared" si="21"/>
        <v>0</v>
      </c>
      <c r="V153" s="29">
        <f t="shared" si="22"/>
        <v>0</v>
      </c>
      <c r="W153" s="29">
        <f t="shared" si="23"/>
        <v>0</v>
      </c>
      <c r="X153" s="61">
        <f t="shared" si="24"/>
        <v>0</v>
      </c>
      <c r="Y153" s="61"/>
      <c r="Z153" s="61"/>
      <c r="AA153" s="61"/>
      <c r="AB153" s="61"/>
      <c r="AC153" s="61"/>
      <c r="AD153" s="61"/>
      <c r="AE153" s="49">
        <f t="shared" si="25"/>
        <v>0</v>
      </c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49">
        <f t="shared" si="26"/>
        <v>0</v>
      </c>
    </row>
    <row r="154" spans="1:57" ht="15" hidden="1" customHeight="1" x14ac:dyDescent="0.2">
      <c r="A154" s="36">
        <v>143</v>
      </c>
      <c r="B154" s="59"/>
      <c r="C154" s="38"/>
      <c r="D154" s="38" t="e">
        <f>VLOOKUP(C154,Planilha1!$J$2:$L$206,3,)</f>
        <v>#N/A</v>
      </c>
      <c r="E154" s="39"/>
      <c r="F154" s="40"/>
      <c r="G154" s="49"/>
      <c r="H154" s="60">
        <f t="shared" si="19"/>
        <v>0</v>
      </c>
      <c r="I154" s="49">
        <f t="shared" si="20"/>
        <v>0</v>
      </c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49">
        <f t="shared" si="21"/>
        <v>0</v>
      </c>
      <c r="V154" s="29">
        <f t="shared" si="22"/>
        <v>0</v>
      </c>
      <c r="W154" s="29">
        <f t="shared" si="23"/>
        <v>0</v>
      </c>
      <c r="X154" s="61">
        <f t="shared" si="24"/>
        <v>0</v>
      </c>
      <c r="Y154" s="61"/>
      <c r="Z154" s="61"/>
      <c r="AA154" s="61"/>
      <c r="AB154" s="61"/>
      <c r="AC154" s="61"/>
      <c r="AD154" s="61"/>
      <c r="AE154" s="49">
        <f t="shared" si="25"/>
        <v>0</v>
      </c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49">
        <f t="shared" si="26"/>
        <v>0</v>
      </c>
    </row>
    <row r="155" spans="1:57" ht="15" hidden="1" customHeight="1" x14ac:dyDescent="0.2">
      <c r="A155" s="36">
        <v>144</v>
      </c>
      <c r="B155" s="59"/>
      <c r="C155" s="38"/>
      <c r="D155" s="38" t="e">
        <f>VLOOKUP(C155,Planilha1!$J$2:$L$206,3,)</f>
        <v>#N/A</v>
      </c>
      <c r="E155" s="39"/>
      <c r="F155" s="40"/>
      <c r="G155" s="49"/>
      <c r="H155" s="60">
        <f t="shared" si="19"/>
        <v>0</v>
      </c>
      <c r="I155" s="49">
        <f t="shared" si="20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49">
        <f t="shared" si="21"/>
        <v>0</v>
      </c>
      <c r="V155" s="29">
        <f t="shared" si="22"/>
        <v>0</v>
      </c>
      <c r="W155" s="29">
        <f t="shared" si="23"/>
        <v>0</v>
      </c>
      <c r="X155" s="61">
        <f t="shared" si="24"/>
        <v>0</v>
      </c>
      <c r="Y155" s="61"/>
      <c r="Z155" s="61"/>
      <c r="AA155" s="61"/>
      <c r="AB155" s="61"/>
      <c r="AC155" s="61"/>
      <c r="AD155" s="61"/>
      <c r="AE155" s="49">
        <f t="shared" si="25"/>
        <v>0</v>
      </c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49">
        <f t="shared" si="26"/>
        <v>0</v>
      </c>
    </row>
    <row r="156" spans="1:57" ht="15" hidden="1" customHeight="1" x14ac:dyDescent="0.2">
      <c r="A156" s="36">
        <v>145</v>
      </c>
      <c r="B156" s="59"/>
      <c r="C156" s="38"/>
      <c r="D156" s="38" t="e">
        <f>VLOOKUP(C156,Planilha1!$J$2:$L$206,3,)</f>
        <v>#N/A</v>
      </c>
      <c r="E156" s="39"/>
      <c r="F156" s="40"/>
      <c r="G156" s="49"/>
      <c r="H156" s="60">
        <f t="shared" si="19"/>
        <v>0</v>
      </c>
      <c r="I156" s="49">
        <f t="shared" si="20"/>
        <v>0</v>
      </c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49">
        <f t="shared" si="21"/>
        <v>0</v>
      </c>
      <c r="V156" s="29">
        <f t="shared" si="22"/>
        <v>0</v>
      </c>
      <c r="W156" s="29">
        <f t="shared" si="23"/>
        <v>0</v>
      </c>
      <c r="X156" s="61">
        <f t="shared" si="24"/>
        <v>0</v>
      </c>
      <c r="Y156" s="61"/>
      <c r="Z156" s="61"/>
      <c r="AA156" s="61"/>
      <c r="AB156" s="61"/>
      <c r="AC156" s="61"/>
      <c r="AD156" s="61"/>
      <c r="AE156" s="49">
        <f t="shared" si="25"/>
        <v>0</v>
      </c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49">
        <f t="shared" si="26"/>
        <v>0</v>
      </c>
    </row>
    <row r="157" spans="1:57" ht="15" hidden="1" customHeight="1" x14ac:dyDescent="0.2">
      <c r="A157" s="36">
        <v>146</v>
      </c>
      <c r="B157" s="59"/>
      <c r="C157" s="38"/>
      <c r="D157" s="38" t="e">
        <f>VLOOKUP(C157,Planilha1!$J$2:$L$206,3,)</f>
        <v>#N/A</v>
      </c>
      <c r="E157" s="39"/>
      <c r="F157" s="40"/>
      <c r="G157" s="49"/>
      <c r="H157" s="60">
        <f t="shared" si="19"/>
        <v>0</v>
      </c>
      <c r="I157" s="49">
        <f t="shared" si="20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49">
        <f t="shared" si="21"/>
        <v>0</v>
      </c>
      <c r="V157" s="29">
        <f t="shared" si="22"/>
        <v>0</v>
      </c>
      <c r="W157" s="29">
        <f t="shared" si="23"/>
        <v>0</v>
      </c>
      <c r="X157" s="61">
        <f t="shared" si="24"/>
        <v>0</v>
      </c>
      <c r="Y157" s="61"/>
      <c r="Z157" s="61"/>
      <c r="AA157" s="61"/>
      <c r="AB157" s="61"/>
      <c r="AC157" s="61"/>
      <c r="AD157" s="61"/>
      <c r="AE157" s="49">
        <f t="shared" si="25"/>
        <v>0</v>
      </c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49">
        <f t="shared" si="26"/>
        <v>0</v>
      </c>
    </row>
    <row r="158" spans="1:57" ht="15" hidden="1" customHeight="1" x14ac:dyDescent="0.2">
      <c r="A158" s="36">
        <v>147</v>
      </c>
      <c r="B158" s="59"/>
      <c r="C158" s="38"/>
      <c r="D158" s="38" t="e">
        <f>VLOOKUP(C158,Planilha1!$J$2:$L$206,3,)</f>
        <v>#N/A</v>
      </c>
      <c r="E158" s="39"/>
      <c r="F158" s="40"/>
      <c r="G158" s="49"/>
      <c r="H158" s="60">
        <f t="shared" si="19"/>
        <v>0</v>
      </c>
      <c r="I158" s="49">
        <f t="shared" si="20"/>
        <v>0</v>
      </c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49">
        <f t="shared" si="21"/>
        <v>0</v>
      </c>
      <c r="V158" s="29">
        <f t="shared" si="22"/>
        <v>0</v>
      </c>
      <c r="W158" s="29">
        <f t="shared" si="23"/>
        <v>0</v>
      </c>
      <c r="X158" s="61">
        <f t="shared" si="24"/>
        <v>0</v>
      </c>
      <c r="Y158" s="61"/>
      <c r="Z158" s="61"/>
      <c r="AA158" s="61"/>
      <c r="AB158" s="61"/>
      <c r="AC158" s="61"/>
      <c r="AD158" s="61"/>
      <c r="AE158" s="49">
        <f t="shared" si="25"/>
        <v>0</v>
      </c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49">
        <f t="shared" si="26"/>
        <v>0</v>
      </c>
    </row>
    <row r="159" spans="1:57" ht="15" hidden="1" customHeight="1" x14ac:dyDescent="0.2">
      <c r="A159" s="36">
        <v>148</v>
      </c>
      <c r="B159" s="59"/>
      <c r="C159" s="38"/>
      <c r="D159" s="38" t="e">
        <f>VLOOKUP(C159,Planilha1!$J$2:$L$206,3,)</f>
        <v>#N/A</v>
      </c>
      <c r="E159" s="39"/>
      <c r="F159" s="40"/>
      <c r="G159" s="49"/>
      <c r="H159" s="60">
        <f t="shared" si="19"/>
        <v>0</v>
      </c>
      <c r="I159" s="49">
        <f t="shared" si="20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49">
        <f t="shared" si="21"/>
        <v>0</v>
      </c>
      <c r="V159" s="29">
        <f t="shared" si="22"/>
        <v>0</v>
      </c>
      <c r="W159" s="29">
        <f t="shared" si="23"/>
        <v>0</v>
      </c>
      <c r="X159" s="61">
        <f t="shared" si="24"/>
        <v>0</v>
      </c>
      <c r="Y159" s="61"/>
      <c r="Z159" s="61"/>
      <c r="AA159" s="61"/>
      <c r="AB159" s="61"/>
      <c r="AC159" s="61"/>
      <c r="AD159" s="61"/>
      <c r="AE159" s="49">
        <f t="shared" si="25"/>
        <v>0</v>
      </c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49">
        <f t="shared" si="26"/>
        <v>0</v>
      </c>
    </row>
    <row r="160" spans="1:57" ht="15" hidden="1" customHeight="1" x14ac:dyDescent="0.2">
      <c r="A160" s="36">
        <v>149</v>
      </c>
      <c r="B160" s="59"/>
      <c r="C160" s="38"/>
      <c r="D160" s="38" t="e">
        <f>VLOOKUP(C160,Planilha1!$J$2:$L$206,3,)</f>
        <v>#N/A</v>
      </c>
      <c r="E160" s="39"/>
      <c r="F160" s="40"/>
      <c r="G160" s="49"/>
      <c r="H160" s="60">
        <f t="shared" si="19"/>
        <v>0</v>
      </c>
      <c r="I160" s="49">
        <f t="shared" si="20"/>
        <v>0</v>
      </c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49">
        <f t="shared" si="21"/>
        <v>0</v>
      </c>
      <c r="V160" s="29">
        <f t="shared" si="22"/>
        <v>0</v>
      </c>
      <c r="W160" s="29">
        <f t="shared" si="23"/>
        <v>0</v>
      </c>
      <c r="X160" s="61">
        <f t="shared" si="24"/>
        <v>0</v>
      </c>
      <c r="Y160" s="61"/>
      <c r="Z160" s="61"/>
      <c r="AA160" s="61"/>
      <c r="AB160" s="61"/>
      <c r="AC160" s="61"/>
      <c r="AD160" s="61"/>
      <c r="AE160" s="49">
        <f t="shared" si="25"/>
        <v>0</v>
      </c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49">
        <f t="shared" si="26"/>
        <v>0</v>
      </c>
    </row>
    <row r="161" spans="1:57" ht="15" hidden="1" customHeight="1" x14ac:dyDescent="0.2">
      <c r="A161" s="36">
        <v>150</v>
      </c>
      <c r="B161" s="59"/>
      <c r="C161" s="38"/>
      <c r="D161" s="38" t="e">
        <f>VLOOKUP(C161,Planilha1!$J$2:$L$206,3,)</f>
        <v>#N/A</v>
      </c>
      <c r="E161" s="39"/>
      <c r="F161" s="40"/>
      <c r="G161" s="49"/>
      <c r="H161" s="60">
        <f t="shared" si="19"/>
        <v>0</v>
      </c>
      <c r="I161" s="49">
        <f t="shared" si="20"/>
        <v>0</v>
      </c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49">
        <f t="shared" si="21"/>
        <v>0</v>
      </c>
      <c r="V161" s="29">
        <f t="shared" si="22"/>
        <v>0</v>
      </c>
      <c r="W161" s="29">
        <f t="shared" si="23"/>
        <v>0</v>
      </c>
      <c r="X161" s="61">
        <f t="shared" si="24"/>
        <v>0</v>
      </c>
      <c r="Y161" s="61"/>
      <c r="Z161" s="61"/>
      <c r="AA161" s="61"/>
      <c r="AB161" s="61"/>
      <c r="AC161" s="61"/>
      <c r="AD161" s="61"/>
      <c r="AE161" s="49">
        <f t="shared" si="25"/>
        <v>0</v>
      </c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49">
        <f t="shared" si="26"/>
        <v>0</v>
      </c>
    </row>
    <row r="162" spans="1:57" ht="15" hidden="1" customHeight="1" x14ac:dyDescent="0.2">
      <c r="A162" s="36">
        <v>151</v>
      </c>
      <c r="B162" s="59"/>
      <c r="C162" s="38"/>
      <c r="D162" s="38" t="e">
        <f>VLOOKUP(C162,Planilha1!$J$2:$L$206,3,)</f>
        <v>#N/A</v>
      </c>
      <c r="E162" s="39"/>
      <c r="F162" s="40"/>
      <c r="G162" s="49"/>
      <c r="H162" s="60">
        <f t="shared" si="19"/>
        <v>0</v>
      </c>
      <c r="I162" s="49">
        <f t="shared" si="20"/>
        <v>0</v>
      </c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49">
        <f t="shared" si="21"/>
        <v>0</v>
      </c>
      <c r="V162" s="29">
        <f t="shared" si="22"/>
        <v>0</v>
      </c>
      <c r="W162" s="29">
        <f t="shared" si="23"/>
        <v>0</v>
      </c>
      <c r="X162" s="61">
        <f t="shared" si="24"/>
        <v>0</v>
      </c>
      <c r="Y162" s="61"/>
      <c r="Z162" s="61"/>
      <c r="AA162" s="61"/>
      <c r="AB162" s="61"/>
      <c r="AC162" s="61"/>
      <c r="AD162" s="61"/>
      <c r="AE162" s="49">
        <f t="shared" si="25"/>
        <v>0</v>
      </c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49">
        <f t="shared" si="26"/>
        <v>0</v>
      </c>
    </row>
    <row r="163" spans="1:57" ht="15" hidden="1" customHeight="1" x14ac:dyDescent="0.2">
      <c r="A163" s="36">
        <v>152</v>
      </c>
      <c r="B163" s="59"/>
      <c r="C163" s="38"/>
      <c r="D163" s="38" t="e">
        <f>VLOOKUP(C163,Planilha1!$J$2:$L$206,3,)</f>
        <v>#N/A</v>
      </c>
      <c r="E163" s="39"/>
      <c r="F163" s="40"/>
      <c r="G163" s="49"/>
      <c r="H163" s="60">
        <f t="shared" si="19"/>
        <v>0</v>
      </c>
      <c r="I163" s="49">
        <f t="shared" si="20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49">
        <f t="shared" si="21"/>
        <v>0</v>
      </c>
      <c r="V163" s="29">
        <f t="shared" si="22"/>
        <v>0</v>
      </c>
      <c r="W163" s="29">
        <f t="shared" si="23"/>
        <v>0</v>
      </c>
      <c r="X163" s="61">
        <f t="shared" si="24"/>
        <v>0</v>
      </c>
      <c r="Y163" s="61"/>
      <c r="Z163" s="61"/>
      <c r="AA163" s="61"/>
      <c r="AB163" s="61"/>
      <c r="AC163" s="61"/>
      <c r="AD163" s="61"/>
      <c r="AE163" s="49">
        <f t="shared" si="25"/>
        <v>0</v>
      </c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49">
        <f t="shared" si="26"/>
        <v>0</v>
      </c>
    </row>
    <row r="164" spans="1:57" ht="15" hidden="1" customHeight="1" x14ac:dyDescent="0.2">
      <c r="A164" s="36">
        <v>153</v>
      </c>
      <c r="B164" s="59"/>
      <c r="C164" s="38"/>
      <c r="D164" s="38" t="e">
        <f>VLOOKUP(C164,Planilha1!$J$2:$L$206,3,)</f>
        <v>#N/A</v>
      </c>
      <c r="E164" s="39"/>
      <c r="F164" s="40"/>
      <c r="G164" s="49"/>
      <c r="H164" s="60">
        <f t="shared" si="19"/>
        <v>0</v>
      </c>
      <c r="I164" s="49">
        <f t="shared" si="20"/>
        <v>0</v>
      </c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49">
        <f t="shared" si="21"/>
        <v>0</v>
      </c>
      <c r="V164" s="29">
        <f t="shared" si="22"/>
        <v>0</v>
      </c>
      <c r="W164" s="29">
        <f t="shared" si="23"/>
        <v>0</v>
      </c>
      <c r="X164" s="61">
        <f t="shared" si="24"/>
        <v>0</v>
      </c>
      <c r="Y164" s="61"/>
      <c r="Z164" s="61"/>
      <c r="AA164" s="61"/>
      <c r="AB164" s="61"/>
      <c r="AC164" s="61"/>
      <c r="AD164" s="61"/>
      <c r="AE164" s="49">
        <f t="shared" si="25"/>
        <v>0</v>
      </c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49">
        <f t="shared" si="26"/>
        <v>0</v>
      </c>
    </row>
    <row r="165" spans="1:57" ht="15" hidden="1" customHeight="1" x14ac:dyDescent="0.2">
      <c r="A165" s="36">
        <v>154</v>
      </c>
      <c r="B165" s="59"/>
      <c r="C165" s="38"/>
      <c r="D165" s="38" t="e">
        <f>VLOOKUP(C165,Planilha1!$J$2:$L$206,3,)</f>
        <v>#N/A</v>
      </c>
      <c r="E165" s="39"/>
      <c r="F165" s="40"/>
      <c r="G165" s="49"/>
      <c r="H165" s="60">
        <f t="shared" si="19"/>
        <v>0</v>
      </c>
      <c r="I165" s="49">
        <f t="shared" si="20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49">
        <f t="shared" si="21"/>
        <v>0</v>
      </c>
      <c r="V165" s="29">
        <f t="shared" si="22"/>
        <v>0</v>
      </c>
      <c r="W165" s="29">
        <f t="shared" si="23"/>
        <v>0</v>
      </c>
      <c r="X165" s="61">
        <f t="shared" si="24"/>
        <v>0</v>
      </c>
      <c r="Y165" s="61"/>
      <c r="Z165" s="61"/>
      <c r="AA165" s="61"/>
      <c r="AB165" s="61"/>
      <c r="AC165" s="61"/>
      <c r="AD165" s="61"/>
      <c r="AE165" s="49">
        <f t="shared" si="25"/>
        <v>0</v>
      </c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49">
        <f t="shared" si="26"/>
        <v>0</v>
      </c>
    </row>
    <row r="166" spans="1:57" ht="15" hidden="1" customHeight="1" x14ac:dyDescent="0.2">
      <c r="A166" s="36">
        <v>155</v>
      </c>
      <c r="B166" s="59"/>
      <c r="C166" s="38"/>
      <c r="D166" s="38" t="e">
        <f>VLOOKUP(C166,Planilha1!$J$2:$L$206,3,)</f>
        <v>#N/A</v>
      </c>
      <c r="E166" s="39"/>
      <c r="F166" s="40"/>
      <c r="G166" s="49"/>
      <c r="H166" s="60">
        <f t="shared" si="19"/>
        <v>0</v>
      </c>
      <c r="I166" s="49">
        <f t="shared" si="20"/>
        <v>0</v>
      </c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49">
        <f t="shared" si="21"/>
        <v>0</v>
      </c>
      <c r="V166" s="29">
        <f t="shared" si="22"/>
        <v>0</v>
      </c>
      <c r="W166" s="29">
        <f t="shared" si="23"/>
        <v>0</v>
      </c>
      <c r="X166" s="61">
        <f t="shared" si="24"/>
        <v>0</v>
      </c>
      <c r="Y166" s="61"/>
      <c r="Z166" s="61"/>
      <c r="AA166" s="61"/>
      <c r="AB166" s="61"/>
      <c r="AC166" s="61"/>
      <c r="AD166" s="61"/>
      <c r="AE166" s="49">
        <f t="shared" si="25"/>
        <v>0</v>
      </c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49">
        <f t="shared" si="26"/>
        <v>0</v>
      </c>
    </row>
    <row r="167" spans="1:57" ht="15" hidden="1" customHeight="1" x14ac:dyDescent="0.2">
      <c r="A167" s="36">
        <v>156</v>
      </c>
      <c r="B167" s="59"/>
      <c r="C167" s="38"/>
      <c r="D167" s="38" t="e">
        <f>VLOOKUP(C167,Planilha1!$J$2:$L$206,3,)</f>
        <v>#N/A</v>
      </c>
      <c r="E167" s="39"/>
      <c r="F167" s="40"/>
      <c r="G167" s="49"/>
      <c r="H167" s="60">
        <f t="shared" si="19"/>
        <v>0</v>
      </c>
      <c r="I167" s="49">
        <f t="shared" si="20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49">
        <f t="shared" si="21"/>
        <v>0</v>
      </c>
      <c r="V167" s="29">
        <f t="shared" si="22"/>
        <v>0</v>
      </c>
      <c r="W167" s="29">
        <f t="shared" si="23"/>
        <v>0</v>
      </c>
      <c r="X167" s="61">
        <f t="shared" si="24"/>
        <v>0</v>
      </c>
      <c r="Y167" s="61"/>
      <c r="Z167" s="61"/>
      <c r="AA167" s="61"/>
      <c r="AB167" s="61"/>
      <c r="AC167" s="61"/>
      <c r="AD167" s="61"/>
      <c r="AE167" s="49">
        <f t="shared" si="25"/>
        <v>0</v>
      </c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49">
        <f t="shared" si="26"/>
        <v>0</v>
      </c>
    </row>
    <row r="168" spans="1:57" ht="15" hidden="1" customHeight="1" x14ac:dyDescent="0.2">
      <c r="A168" s="36">
        <v>157</v>
      </c>
      <c r="B168" s="59"/>
      <c r="C168" s="38"/>
      <c r="D168" s="38" t="e">
        <f>VLOOKUP(C168,Planilha1!$J$2:$L$206,3,)</f>
        <v>#N/A</v>
      </c>
      <c r="E168" s="39"/>
      <c r="F168" s="40"/>
      <c r="G168" s="49"/>
      <c r="H168" s="60">
        <f t="shared" ref="H168:H231" si="27">I168+U168</f>
        <v>0</v>
      </c>
      <c r="I168" s="49">
        <f t="shared" ref="I168:I231" si="28">SUM(J168:T168)</f>
        <v>0</v>
      </c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49">
        <f t="shared" ref="U168:U231" si="29">X168+AE168</f>
        <v>0</v>
      </c>
      <c r="V168" s="29">
        <f t="shared" ref="V168:V231" si="30">IF(H168,U168/H168,0)</f>
        <v>0</v>
      </c>
      <c r="W168" s="29">
        <f t="shared" ref="W168:W231" si="31">IF(H168,I168/H168,0)</f>
        <v>0</v>
      </c>
      <c r="X168" s="61">
        <f t="shared" ref="X168:X231" si="32">SUM(Y168:AD168)</f>
        <v>0</v>
      </c>
      <c r="Y168" s="61"/>
      <c r="Z168" s="61"/>
      <c r="AA168" s="61"/>
      <c r="AB168" s="61"/>
      <c r="AC168" s="61"/>
      <c r="AD168" s="61"/>
      <c r="AE168" s="49">
        <f t="shared" ref="AE168:AE231" si="33">SUM(AF168:BD168)</f>
        <v>0</v>
      </c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49">
        <f t="shared" ref="BE168:BE231" si="34">I168+AE168</f>
        <v>0</v>
      </c>
    </row>
    <row r="169" spans="1:57" ht="15" hidden="1" customHeight="1" x14ac:dyDescent="0.2">
      <c r="A169" s="36">
        <v>158</v>
      </c>
      <c r="B169" s="59"/>
      <c r="C169" s="38"/>
      <c r="D169" s="38" t="e">
        <f>VLOOKUP(C169,Planilha1!$J$2:$L$206,3,)</f>
        <v>#N/A</v>
      </c>
      <c r="E169" s="39"/>
      <c r="F169" s="40"/>
      <c r="G169" s="49"/>
      <c r="H169" s="60">
        <f t="shared" si="27"/>
        <v>0</v>
      </c>
      <c r="I169" s="49">
        <f t="shared" si="28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49">
        <f t="shared" si="29"/>
        <v>0</v>
      </c>
      <c r="V169" s="29">
        <f t="shared" si="30"/>
        <v>0</v>
      </c>
      <c r="W169" s="29">
        <f t="shared" si="31"/>
        <v>0</v>
      </c>
      <c r="X169" s="61">
        <f t="shared" si="32"/>
        <v>0</v>
      </c>
      <c r="Y169" s="61"/>
      <c r="Z169" s="61"/>
      <c r="AA169" s="61"/>
      <c r="AB169" s="61"/>
      <c r="AC169" s="61"/>
      <c r="AD169" s="61"/>
      <c r="AE169" s="49">
        <f t="shared" si="33"/>
        <v>0</v>
      </c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49">
        <f t="shared" si="34"/>
        <v>0</v>
      </c>
    </row>
    <row r="170" spans="1:57" ht="15" hidden="1" customHeight="1" x14ac:dyDescent="0.2">
      <c r="A170" s="36">
        <v>159</v>
      </c>
      <c r="B170" s="59"/>
      <c r="C170" s="38"/>
      <c r="D170" s="38" t="e">
        <f>VLOOKUP(C170,Planilha1!$J$2:$L$206,3,)</f>
        <v>#N/A</v>
      </c>
      <c r="E170" s="39"/>
      <c r="F170" s="40"/>
      <c r="G170" s="49"/>
      <c r="H170" s="60">
        <f t="shared" si="27"/>
        <v>0</v>
      </c>
      <c r="I170" s="49">
        <f t="shared" si="28"/>
        <v>0</v>
      </c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49">
        <f t="shared" si="29"/>
        <v>0</v>
      </c>
      <c r="V170" s="29">
        <f t="shared" si="30"/>
        <v>0</v>
      </c>
      <c r="W170" s="29">
        <f t="shared" si="31"/>
        <v>0</v>
      </c>
      <c r="X170" s="61">
        <f t="shared" si="32"/>
        <v>0</v>
      </c>
      <c r="Y170" s="61"/>
      <c r="Z170" s="61"/>
      <c r="AA170" s="61"/>
      <c r="AB170" s="61"/>
      <c r="AC170" s="61"/>
      <c r="AD170" s="61"/>
      <c r="AE170" s="49">
        <f t="shared" si="33"/>
        <v>0</v>
      </c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49">
        <f t="shared" si="34"/>
        <v>0</v>
      </c>
    </row>
    <row r="171" spans="1:57" ht="15" hidden="1" customHeight="1" x14ac:dyDescent="0.2">
      <c r="A171" s="36">
        <v>160</v>
      </c>
      <c r="B171" s="59"/>
      <c r="C171" s="38"/>
      <c r="D171" s="38" t="e">
        <f>VLOOKUP(C171,Planilha1!$J$2:$L$206,3,)</f>
        <v>#N/A</v>
      </c>
      <c r="E171" s="39"/>
      <c r="F171" s="40"/>
      <c r="G171" s="49"/>
      <c r="H171" s="60">
        <f t="shared" si="27"/>
        <v>0</v>
      </c>
      <c r="I171" s="49">
        <f t="shared" si="28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49">
        <f t="shared" si="29"/>
        <v>0</v>
      </c>
      <c r="V171" s="29">
        <f t="shared" si="30"/>
        <v>0</v>
      </c>
      <c r="W171" s="29">
        <f t="shared" si="31"/>
        <v>0</v>
      </c>
      <c r="X171" s="61">
        <f t="shared" si="32"/>
        <v>0</v>
      </c>
      <c r="Y171" s="61"/>
      <c r="Z171" s="61"/>
      <c r="AA171" s="61"/>
      <c r="AB171" s="61"/>
      <c r="AC171" s="61"/>
      <c r="AD171" s="61"/>
      <c r="AE171" s="49">
        <f t="shared" si="33"/>
        <v>0</v>
      </c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49">
        <f t="shared" si="34"/>
        <v>0</v>
      </c>
    </row>
    <row r="172" spans="1:57" ht="15" hidden="1" customHeight="1" x14ac:dyDescent="0.2">
      <c r="A172" s="36">
        <v>161</v>
      </c>
      <c r="B172" s="59"/>
      <c r="C172" s="38"/>
      <c r="D172" s="38" t="e">
        <f>VLOOKUP(C172,Planilha1!$J$2:$L$206,3,)</f>
        <v>#N/A</v>
      </c>
      <c r="E172" s="39"/>
      <c r="F172" s="40"/>
      <c r="G172" s="49"/>
      <c r="H172" s="60">
        <f t="shared" si="27"/>
        <v>0</v>
      </c>
      <c r="I172" s="49">
        <f t="shared" si="28"/>
        <v>0</v>
      </c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49">
        <f t="shared" si="29"/>
        <v>0</v>
      </c>
      <c r="V172" s="29">
        <f t="shared" si="30"/>
        <v>0</v>
      </c>
      <c r="W172" s="29">
        <f t="shared" si="31"/>
        <v>0</v>
      </c>
      <c r="X172" s="61">
        <f t="shared" si="32"/>
        <v>0</v>
      </c>
      <c r="Y172" s="61"/>
      <c r="Z172" s="61"/>
      <c r="AA172" s="61"/>
      <c r="AB172" s="61"/>
      <c r="AC172" s="61"/>
      <c r="AD172" s="61"/>
      <c r="AE172" s="49">
        <f t="shared" si="33"/>
        <v>0</v>
      </c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49">
        <f t="shared" si="34"/>
        <v>0</v>
      </c>
    </row>
    <row r="173" spans="1:57" ht="15" hidden="1" customHeight="1" x14ac:dyDescent="0.2">
      <c r="A173" s="36">
        <v>162</v>
      </c>
      <c r="B173" s="59"/>
      <c r="C173" s="38"/>
      <c r="D173" s="38" t="e">
        <f>VLOOKUP(C173,Planilha1!$J$2:$L$206,3,)</f>
        <v>#N/A</v>
      </c>
      <c r="E173" s="39"/>
      <c r="F173" s="40"/>
      <c r="G173" s="49"/>
      <c r="H173" s="60">
        <f t="shared" si="27"/>
        <v>0</v>
      </c>
      <c r="I173" s="49">
        <f t="shared" si="28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49">
        <f t="shared" si="29"/>
        <v>0</v>
      </c>
      <c r="V173" s="29">
        <f t="shared" si="30"/>
        <v>0</v>
      </c>
      <c r="W173" s="29">
        <f t="shared" si="31"/>
        <v>0</v>
      </c>
      <c r="X173" s="61">
        <f t="shared" si="32"/>
        <v>0</v>
      </c>
      <c r="Y173" s="61"/>
      <c r="Z173" s="61"/>
      <c r="AA173" s="61"/>
      <c r="AB173" s="61"/>
      <c r="AC173" s="61"/>
      <c r="AD173" s="61"/>
      <c r="AE173" s="49">
        <f t="shared" si="33"/>
        <v>0</v>
      </c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49">
        <f t="shared" si="34"/>
        <v>0</v>
      </c>
    </row>
    <row r="174" spans="1:57" ht="15" hidden="1" customHeight="1" x14ac:dyDescent="0.2">
      <c r="A174" s="36">
        <v>163</v>
      </c>
      <c r="B174" s="59"/>
      <c r="C174" s="38"/>
      <c r="D174" s="38" t="e">
        <f>VLOOKUP(C174,Planilha1!$J$2:$L$206,3,)</f>
        <v>#N/A</v>
      </c>
      <c r="E174" s="39"/>
      <c r="F174" s="40"/>
      <c r="G174" s="49"/>
      <c r="H174" s="60">
        <f t="shared" si="27"/>
        <v>0</v>
      </c>
      <c r="I174" s="49">
        <f t="shared" si="28"/>
        <v>0</v>
      </c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49">
        <f t="shared" si="29"/>
        <v>0</v>
      </c>
      <c r="V174" s="29">
        <f t="shared" si="30"/>
        <v>0</v>
      </c>
      <c r="W174" s="29">
        <f t="shared" si="31"/>
        <v>0</v>
      </c>
      <c r="X174" s="61">
        <f t="shared" si="32"/>
        <v>0</v>
      </c>
      <c r="Y174" s="61"/>
      <c r="Z174" s="61"/>
      <c r="AA174" s="61"/>
      <c r="AB174" s="61"/>
      <c r="AC174" s="61"/>
      <c r="AD174" s="61"/>
      <c r="AE174" s="49">
        <f t="shared" si="33"/>
        <v>0</v>
      </c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49">
        <f t="shared" si="34"/>
        <v>0</v>
      </c>
    </row>
    <row r="175" spans="1:57" ht="15" hidden="1" customHeight="1" x14ac:dyDescent="0.2">
      <c r="A175" s="36">
        <v>164</v>
      </c>
      <c r="B175" s="59"/>
      <c r="C175" s="38"/>
      <c r="D175" s="38" t="e">
        <f>VLOOKUP(C175,Planilha1!$J$2:$L$206,3,)</f>
        <v>#N/A</v>
      </c>
      <c r="E175" s="39"/>
      <c r="F175" s="40"/>
      <c r="G175" s="49"/>
      <c r="H175" s="60">
        <f t="shared" si="27"/>
        <v>0</v>
      </c>
      <c r="I175" s="49">
        <f t="shared" si="28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49">
        <f t="shared" si="29"/>
        <v>0</v>
      </c>
      <c r="V175" s="29">
        <f t="shared" si="30"/>
        <v>0</v>
      </c>
      <c r="W175" s="29">
        <f t="shared" si="31"/>
        <v>0</v>
      </c>
      <c r="X175" s="61">
        <f t="shared" si="32"/>
        <v>0</v>
      </c>
      <c r="Y175" s="61"/>
      <c r="Z175" s="61"/>
      <c r="AA175" s="61"/>
      <c r="AB175" s="61"/>
      <c r="AC175" s="61"/>
      <c r="AD175" s="61"/>
      <c r="AE175" s="49">
        <f t="shared" si="33"/>
        <v>0</v>
      </c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49">
        <f t="shared" si="34"/>
        <v>0</v>
      </c>
    </row>
    <row r="176" spans="1:57" ht="15" hidden="1" customHeight="1" x14ac:dyDescent="0.2">
      <c r="A176" s="36">
        <v>165</v>
      </c>
      <c r="B176" s="59"/>
      <c r="C176" s="38"/>
      <c r="D176" s="38" t="e">
        <f>VLOOKUP(C176,Planilha1!$J$2:$L$206,3,)</f>
        <v>#N/A</v>
      </c>
      <c r="E176" s="39"/>
      <c r="F176" s="40"/>
      <c r="G176" s="49"/>
      <c r="H176" s="60">
        <f t="shared" si="27"/>
        <v>0</v>
      </c>
      <c r="I176" s="49">
        <f t="shared" si="28"/>
        <v>0</v>
      </c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49">
        <f t="shared" si="29"/>
        <v>0</v>
      </c>
      <c r="V176" s="29">
        <f t="shared" si="30"/>
        <v>0</v>
      </c>
      <c r="W176" s="29">
        <f t="shared" si="31"/>
        <v>0</v>
      </c>
      <c r="X176" s="61">
        <f t="shared" si="32"/>
        <v>0</v>
      </c>
      <c r="Y176" s="61"/>
      <c r="Z176" s="61"/>
      <c r="AA176" s="61"/>
      <c r="AB176" s="61"/>
      <c r="AC176" s="61"/>
      <c r="AD176" s="61"/>
      <c r="AE176" s="49">
        <f t="shared" si="33"/>
        <v>0</v>
      </c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49">
        <f t="shared" si="34"/>
        <v>0</v>
      </c>
    </row>
    <row r="177" spans="1:57" ht="15" hidden="1" customHeight="1" x14ac:dyDescent="0.2">
      <c r="A177" s="36">
        <v>166</v>
      </c>
      <c r="B177" s="59"/>
      <c r="C177" s="38"/>
      <c r="D177" s="38" t="e">
        <f>VLOOKUP(C177,Planilha1!$J$2:$L$206,3,)</f>
        <v>#N/A</v>
      </c>
      <c r="E177" s="39"/>
      <c r="F177" s="40"/>
      <c r="G177" s="49"/>
      <c r="H177" s="60">
        <f t="shared" si="27"/>
        <v>0</v>
      </c>
      <c r="I177" s="49">
        <f t="shared" si="28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49">
        <f t="shared" si="29"/>
        <v>0</v>
      </c>
      <c r="V177" s="29">
        <f t="shared" si="30"/>
        <v>0</v>
      </c>
      <c r="W177" s="29">
        <f t="shared" si="31"/>
        <v>0</v>
      </c>
      <c r="X177" s="61">
        <f t="shared" si="32"/>
        <v>0</v>
      </c>
      <c r="Y177" s="61"/>
      <c r="Z177" s="61"/>
      <c r="AA177" s="61"/>
      <c r="AB177" s="61"/>
      <c r="AC177" s="61"/>
      <c r="AD177" s="61"/>
      <c r="AE177" s="49">
        <f t="shared" si="33"/>
        <v>0</v>
      </c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49">
        <f t="shared" si="34"/>
        <v>0</v>
      </c>
    </row>
    <row r="178" spans="1:57" ht="15" hidden="1" customHeight="1" x14ac:dyDescent="0.2">
      <c r="A178" s="36">
        <v>167</v>
      </c>
      <c r="B178" s="59"/>
      <c r="C178" s="38"/>
      <c r="D178" s="38" t="e">
        <f>VLOOKUP(C178,Planilha1!$J$2:$L$206,3,)</f>
        <v>#N/A</v>
      </c>
      <c r="E178" s="39"/>
      <c r="F178" s="40"/>
      <c r="G178" s="49"/>
      <c r="H178" s="60">
        <f t="shared" si="27"/>
        <v>0</v>
      </c>
      <c r="I178" s="49">
        <f t="shared" si="28"/>
        <v>0</v>
      </c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49">
        <f t="shared" si="29"/>
        <v>0</v>
      </c>
      <c r="V178" s="29">
        <f t="shared" si="30"/>
        <v>0</v>
      </c>
      <c r="W178" s="29">
        <f t="shared" si="31"/>
        <v>0</v>
      </c>
      <c r="X178" s="61">
        <f t="shared" si="32"/>
        <v>0</v>
      </c>
      <c r="Y178" s="61"/>
      <c r="Z178" s="61"/>
      <c r="AA178" s="61"/>
      <c r="AB178" s="61"/>
      <c r="AC178" s="61"/>
      <c r="AD178" s="61"/>
      <c r="AE178" s="49">
        <f t="shared" si="33"/>
        <v>0</v>
      </c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49">
        <f t="shared" si="34"/>
        <v>0</v>
      </c>
    </row>
    <row r="179" spans="1:57" ht="15" hidden="1" customHeight="1" x14ac:dyDescent="0.2">
      <c r="A179" s="36">
        <v>168</v>
      </c>
      <c r="B179" s="59"/>
      <c r="C179" s="38"/>
      <c r="D179" s="38" t="e">
        <f>VLOOKUP(C179,Planilha1!$J$2:$L$206,3,)</f>
        <v>#N/A</v>
      </c>
      <c r="E179" s="39"/>
      <c r="F179" s="40"/>
      <c r="G179" s="49"/>
      <c r="H179" s="60">
        <f t="shared" si="27"/>
        <v>0</v>
      </c>
      <c r="I179" s="49">
        <f t="shared" si="28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49">
        <f t="shared" si="29"/>
        <v>0</v>
      </c>
      <c r="V179" s="29">
        <f t="shared" si="30"/>
        <v>0</v>
      </c>
      <c r="W179" s="29">
        <f t="shared" si="31"/>
        <v>0</v>
      </c>
      <c r="X179" s="61">
        <f t="shared" si="32"/>
        <v>0</v>
      </c>
      <c r="Y179" s="61"/>
      <c r="Z179" s="61"/>
      <c r="AA179" s="61"/>
      <c r="AB179" s="61"/>
      <c r="AC179" s="61"/>
      <c r="AD179" s="61"/>
      <c r="AE179" s="49">
        <f t="shared" si="33"/>
        <v>0</v>
      </c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49">
        <f t="shared" si="34"/>
        <v>0</v>
      </c>
    </row>
    <row r="180" spans="1:57" ht="15" hidden="1" customHeight="1" x14ac:dyDescent="0.2">
      <c r="A180" s="36">
        <v>169</v>
      </c>
      <c r="B180" s="59"/>
      <c r="C180" s="38"/>
      <c r="D180" s="38" t="e">
        <f>VLOOKUP(C180,Planilha1!$J$2:$L$206,3,)</f>
        <v>#N/A</v>
      </c>
      <c r="E180" s="39"/>
      <c r="F180" s="40"/>
      <c r="G180" s="49"/>
      <c r="H180" s="60">
        <f t="shared" si="27"/>
        <v>0</v>
      </c>
      <c r="I180" s="49">
        <f t="shared" si="28"/>
        <v>0</v>
      </c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49">
        <f t="shared" si="29"/>
        <v>0</v>
      </c>
      <c r="V180" s="29">
        <f t="shared" si="30"/>
        <v>0</v>
      </c>
      <c r="W180" s="29">
        <f t="shared" si="31"/>
        <v>0</v>
      </c>
      <c r="X180" s="61">
        <f t="shared" si="32"/>
        <v>0</v>
      </c>
      <c r="Y180" s="61"/>
      <c r="Z180" s="61"/>
      <c r="AA180" s="61"/>
      <c r="AB180" s="61"/>
      <c r="AC180" s="61"/>
      <c r="AD180" s="61"/>
      <c r="AE180" s="49">
        <f t="shared" si="33"/>
        <v>0</v>
      </c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49">
        <f t="shared" si="34"/>
        <v>0</v>
      </c>
    </row>
    <row r="181" spans="1:57" ht="15" hidden="1" customHeight="1" x14ac:dyDescent="0.2">
      <c r="A181" s="36">
        <v>170</v>
      </c>
      <c r="B181" s="59"/>
      <c r="C181" s="38"/>
      <c r="D181" s="38" t="e">
        <f>VLOOKUP(C181,Planilha1!$J$2:$L$206,3,)</f>
        <v>#N/A</v>
      </c>
      <c r="E181" s="39"/>
      <c r="F181" s="40"/>
      <c r="G181" s="49"/>
      <c r="H181" s="60">
        <f t="shared" si="27"/>
        <v>0</v>
      </c>
      <c r="I181" s="49">
        <f t="shared" si="28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49">
        <f t="shared" si="29"/>
        <v>0</v>
      </c>
      <c r="V181" s="29">
        <f t="shared" si="30"/>
        <v>0</v>
      </c>
      <c r="W181" s="29">
        <f t="shared" si="31"/>
        <v>0</v>
      </c>
      <c r="X181" s="61">
        <f t="shared" si="32"/>
        <v>0</v>
      </c>
      <c r="Y181" s="61"/>
      <c r="Z181" s="61"/>
      <c r="AA181" s="61"/>
      <c r="AB181" s="61"/>
      <c r="AC181" s="61"/>
      <c r="AD181" s="61"/>
      <c r="AE181" s="49">
        <f t="shared" si="33"/>
        <v>0</v>
      </c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49">
        <f t="shared" si="34"/>
        <v>0</v>
      </c>
    </row>
    <row r="182" spans="1:57" ht="15" hidden="1" customHeight="1" x14ac:dyDescent="0.2">
      <c r="A182" s="36">
        <v>171</v>
      </c>
      <c r="B182" s="59"/>
      <c r="C182" s="38"/>
      <c r="D182" s="38" t="e">
        <f>VLOOKUP(C182,Planilha1!$J$2:$L$206,3,)</f>
        <v>#N/A</v>
      </c>
      <c r="E182" s="39"/>
      <c r="F182" s="40"/>
      <c r="G182" s="49"/>
      <c r="H182" s="60">
        <f t="shared" si="27"/>
        <v>0</v>
      </c>
      <c r="I182" s="49">
        <f t="shared" si="28"/>
        <v>0</v>
      </c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49">
        <f t="shared" si="29"/>
        <v>0</v>
      </c>
      <c r="V182" s="29">
        <f t="shared" si="30"/>
        <v>0</v>
      </c>
      <c r="W182" s="29">
        <f t="shared" si="31"/>
        <v>0</v>
      </c>
      <c r="X182" s="61">
        <f t="shared" si="32"/>
        <v>0</v>
      </c>
      <c r="Y182" s="61"/>
      <c r="Z182" s="61"/>
      <c r="AA182" s="61"/>
      <c r="AB182" s="61"/>
      <c r="AC182" s="61"/>
      <c r="AD182" s="61"/>
      <c r="AE182" s="49">
        <f t="shared" si="33"/>
        <v>0</v>
      </c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49">
        <f t="shared" si="34"/>
        <v>0</v>
      </c>
    </row>
    <row r="183" spans="1:57" ht="15" hidden="1" customHeight="1" x14ac:dyDescent="0.2">
      <c r="A183" s="36">
        <v>172</v>
      </c>
      <c r="B183" s="59"/>
      <c r="C183" s="38"/>
      <c r="D183" s="38" t="e">
        <f>VLOOKUP(C183,Planilha1!$J$2:$L$206,3,)</f>
        <v>#N/A</v>
      </c>
      <c r="E183" s="39"/>
      <c r="F183" s="40"/>
      <c r="G183" s="49"/>
      <c r="H183" s="60">
        <f t="shared" si="27"/>
        <v>0</v>
      </c>
      <c r="I183" s="49">
        <f t="shared" si="28"/>
        <v>0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49">
        <f t="shared" si="29"/>
        <v>0</v>
      </c>
      <c r="V183" s="29">
        <f t="shared" si="30"/>
        <v>0</v>
      </c>
      <c r="W183" s="29">
        <f t="shared" si="31"/>
        <v>0</v>
      </c>
      <c r="X183" s="61">
        <f t="shared" si="32"/>
        <v>0</v>
      </c>
      <c r="Y183" s="61"/>
      <c r="Z183" s="61"/>
      <c r="AA183" s="61"/>
      <c r="AB183" s="61"/>
      <c r="AC183" s="61"/>
      <c r="AD183" s="61"/>
      <c r="AE183" s="49">
        <f t="shared" si="33"/>
        <v>0</v>
      </c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49">
        <f t="shared" si="34"/>
        <v>0</v>
      </c>
    </row>
    <row r="184" spans="1:57" ht="15" hidden="1" customHeight="1" x14ac:dyDescent="0.2">
      <c r="A184" s="36">
        <v>173</v>
      </c>
      <c r="B184" s="59"/>
      <c r="C184" s="38"/>
      <c r="D184" s="38" t="e">
        <f>VLOOKUP(C184,Planilha1!$J$2:$L$206,3,)</f>
        <v>#N/A</v>
      </c>
      <c r="E184" s="39"/>
      <c r="F184" s="40"/>
      <c r="G184" s="49"/>
      <c r="H184" s="60">
        <f t="shared" si="27"/>
        <v>0</v>
      </c>
      <c r="I184" s="49">
        <f t="shared" si="28"/>
        <v>0</v>
      </c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49">
        <f t="shared" si="29"/>
        <v>0</v>
      </c>
      <c r="V184" s="29">
        <f t="shared" si="30"/>
        <v>0</v>
      </c>
      <c r="W184" s="29">
        <f t="shared" si="31"/>
        <v>0</v>
      </c>
      <c r="X184" s="61">
        <f t="shared" si="32"/>
        <v>0</v>
      </c>
      <c r="Y184" s="61"/>
      <c r="Z184" s="61"/>
      <c r="AA184" s="61"/>
      <c r="AB184" s="61"/>
      <c r="AC184" s="61"/>
      <c r="AD184" s="61"/>
      <c r="AE184" s="49">
        <f t="shared" si="33"/>
        <v>0</v>
      </c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49">
        <f t="shared" si="34"/>
        <v>0</v>
      </c>
    </row>
    <row r="185" spans="1:57" ht="15" hidden="1" customHeight="1" x14ac:dyDescent="0.2">
      <c r="A185" s="36">
        <v>174</v>
      </c>
      <c r="B185" s="59"/>
      <c r="C185" s="38"/>
      <c r="D185" s="38" t="e">
        <f>VLOOKUP(C185,Planilha1!$J$2:$L$206,3,)</f>
        <v>#N/A</v>
      </c>
      <c r="E185" s="39"/>
      <c r="F185" s="40"/>
      <c r="G185" s="49"/>
      <c r="H185" s="60">
        <f t="shared" si="27"/>
        <v>0</v>
      </c>
      <c r="I185" s="49">
        <f t="shared" si="28"/>
        <v>0</v>
      </c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49">
        <f t="shared" si="29"/>
        <v>0</v>
      </c>
      <c r="V185" s="29">
        <f t="shared" si="30"/>
        <v>0</v>
      </c>
      <c r="W185" s="29">
        <f t="shared" si="31"/>
        <v>0</v>
      </c>
      <c r="X185" s="61">
        <f t="shared" si="32"/>
        <v>0</v>
      </c>
      <c r="Y185" s="61"/>
      <c r="Z185" s="61"/>
      <c r="AA185" s="61"/>
      <c r="AB185" s="61"/>
      <c r="AC185" s="61"/>
      <c r="AD185" s="61"/>
      <c r="AE185" s="49">
        <f t="shared" si="33"/>
        <v>0</v>
      </c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49">
        <f t="shared" si="34"/>
        <v>0</v>
      </c>
    </row>
    <row r="186" spans="1:57" ht="15" hidden="1" customHeight="1" x14ac:dyDescent="0.2">
      <c r="A186" s="36">
        <v>175</v>
      </c>
      <c r="B186" s="59"/>
      <c r="C186" s="38"/>
      <c r="D186" s="38" t="e">
        <f>VLOOKUP(C186,Planilha1!$J$2:$L$206,3,)</f>
        <v>#N/A</v>
      </c>
      <c r="E186" s="39"/>
      <c r="F186" s="40"/>
      <c r="G186" s="49"/>
      <c r="H186" s="60">
        <f t="shared" si="27"/>
        <v>0</v>
      </c>
      <c r="I186" s="49">
        <f t="shared" si="28"/>
        <v>0</v>
      </c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49">
        <f t="shared" si="29"/>
        <v>0</v>
      </c>
      <c r="V186" s="29">
        <f t="shared" si="30"/>
        <v>0</v>
      </c>
      <c r="W186" s="29">
        <f t="shared" si="31"/>
        <v>0</v>
      </c>
      <c r="X186" s="61">
        <f t="shared" si="32"/>
        <v>0</v>
      </c>
      <c r="Y186" s="61"/>
      <c r="Z186" s="61"/>
      <c r="AA186" s="61"/>
      <c r="AB186" s="61"/>
      <c r="AC186" s="61"/>
      <c r="AD186" s="61"/>
      <c r="AE186" s="49">
        <f t="shared" si="33"/>
        <v>0</v>
      </c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49">
        <f t="shared" si="34"/>
        <v>0</v>
      </c>
    </row>
    <row r="187" spans="1:57" ht="15" hidden="1" customHeight="1" x14ac:dyDescent="0.2">
      <c r="A187" s="36">
        <v>176</v>
      </c>
      <c r="B187" s="59"/>
      <c r="C187" s="38"/>
      <c r="D187" s="38" t="e">
        <f>VLOOKUP(C187,Planilha1!$J$2:$L$206,3,)</f>
        <v>#N/A</v>
      </c>
      <c r="E187" s="39"/>
      <c r="F187" s="40"/>
      <c r="G187" s="49"/>
      <c r="H187" s="60">
        <f t="shared" si="27"/>
        <v>0</v>
      </c>
      <c r="I187" s="49">
        <f t="shared" si="28"/>
        <v>0</v>
      </c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49">
        <f t="shared" si="29"/>
        <v>0</v>
      </c>
      <c r="V187" s="29">
        <f t="shared" si="30"/>
        <v>0</v>
      </c>
      <c r="W187" s="29">
        <f t="shared" si="31"/>
        <v>0</v>
      </c>
      <c r="X187" s="61">
        <f t="shared" si="32"/>
        <v>0</v>
      </c>
      <c r="Y187" s="61"/>
      <c r="Z187" s="61"/>
      <c r="AA187" s="61"/>
      <c r="AB187" s="61"/>
      <c r="AC187" s="61"/>
      <c r="AD187" s="61"/>
      <c r="AE187" s="49">
        <f t="shared" si="33"/>
        <v>0</v>
      </c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49">
        <f t="shared" si="34"/>
        <v>0</v>
      </c>
    </row>
    <row r="188" spans="1:57" ht="15" hidden="1" customHeight="1" x14ac:dyDescent="0.2">
      <c r="A188" s="36">
        <v>177</v>
      </c>
      <c r="B188" s="59"/>
      <c r="C188" s="38"/>
      <c r="D188" s="38" t="e">
        <f>VLOOKUP(C188,Planilha1!$J$2:$L$206,3,)</f>
        <v>#N/A</v>
      </c>
      <c r="E188" s="39"/>
      <c r="F188" s="40"/>
      <c r="G188" s="49"/>
      <c r="H188" s="60">
        <f t="shared" si="27"/>
        <v>0</v>
      </c>
      <c r="I188" s="49">
        <f t="shared" si="28"/>
        <v>0</v>
      </c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49">
        <f t="shared" si="29"/>
        <v>0</v>
      </c>
      <c r="V188" s="29">
        <f t="shared" si="30"/>
        <v>0</v>
      </c>
      <c r="W188" s="29">
        <f t="shared" si="31"/>
        <v>0</v>
      </c>
      <c r="X188" s="61">
        <f t="shared" si="32"/>
        <v>0</v>
      </c>
      <c r="Y188" s="61"/>
      <c r="Z188" s="61"/>
      <c r="AA188" s="61"/>
      <c r="AB188" s="61"/>
      <c r="AC188" s="61"/>
      <c r="AD188" s="61"/>
      <c r="AE188" s="49">
        <f t="shared" si="33"/>
        <v>0</v>
      </c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49">
        <f t="shared" si="34"/>
        <v>0</v>
      </c>
    </row>
    <row r="189" spans="1:57" ht="15" hidden="1" customHeight="1" x14ac:dyDescent="0.2">
      <c r="A189" s="36">
        <v>178</v>
      </c>
      <c r="B189" s="59"/>
      <c r="C189" s="38"/>
      <c r="D189" s="38" t="e">
        <f>VLOOKUP(C189,Planilha1!$J$2:$L$206,3,)</f>
        <v>#N/A</v>
      </c>
      <c r="E189" s="39"/>
      <c r="F189" s="40"/>
      <c r="G189" s="49"/>
      <c r="H189" s="60">
        <f t="shared" si="27"/>
        <v>0</v>
      </c>
      <c r="I189" s="49">
        <f t="shared" si="28"/>
        <v>0</v>
      </c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49">
        <f t="shared" si="29"/>
        <v>0</v>
      </c>
      <c r="V189" s="29">
        <f t="shared" si="30"/>
        <v>0</v>
      </c>
      <c r="W189" s="29">
        <f t="shared" si="31"/>
        <v>0</v>
      </c>
      <c r="X189" s="61">
        <f t="shared" si="32"/>
        <v>0</v>
      </c>
      <c r="Y189" s="61"/>
      <c r="Z189" s="61"/>
      <c r="AA189" s="61"/>
      <c r="AB189" s="61"/>
      <c r="AC189" s="61"/>
      <c r="AD189" s="61"/>
      <c r="AE189" s="49">
        <f t="shared" si="33"/>
        <v>0</v>
      </c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49">
        <f t="shared" si="34"/>
        <v>0</v>
      </c>
    </row>
    <row r="190" spans="1:57" ht="15" hidden="1" customHeight="1" x14ac:dyDescent="0.2">
      <c r="A190" s="36">
        <v>179</v>
      </c>
      <c r="B190" s="59"/>
      <c r="C190" s="38"/>
      <c r="D190" s="38" t="e">
        <f>VLOOKUP(C190,Planilha1!$J$2:$L$206,3,)</f>
        <v>#N/A</v>
      </c>
      <c r="E190" s="39"/>
      <c r="F190" s="40"/>
      <c r="G190" s="49"/>
      <c r="H190" s="60">
        <f t="shared" si="27"/>
        <v>0</v>
      </c>
      <c r="I190" s="49">
        <f t="shared" si="28"/>
        <v>0</v>
      </c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49">
        <f t="shared" si="29"/>
        <v>0</v>
      </c>
      <c r="V190" s="29">
        <f t="shared" si="30"/>
        <v>0</v>
      </c>
      <c r="W190" s="29">
        <f t="shared" si="31"/>
        <v>0</v>
      </c>
      <c r="X190" s="61">
        <f t="shared" si="32"/>
        <v>0</v>
      </c>
      <c r="Y190" s="61"/>
      <c r="Z190" s="61"/>
      <c r="AA190" s="61"/>
      <c r="AB190" s="61"/>
      <c r="AC190" s="61"/>
      <c r="AD190" s="61"/>
      <c r="AE190" s="49">
        <f t="shared" si="33"/>
        <v>0</v>
      </c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49">
        <f t="shared" si="34"/>
        <v>0</v>
      </c>
    </row>
    <row r="191" spans="1:57" ht="15" hidden="1" customHeight="1" x14ac:dyDescent="0.2">
      <c r="A191" s="36">
        <v>180</v>
      </c>
      <c r="B191" s="59"/>
      <c r="C191" s="38"/>
      <c r="D191" s="38" t="e">
        <f>VLOOKUP(C191,Planilha1!$J$2:$L$206,3,)</f>
        <v>#N/A</v>
      </c>
      <c r="E191" s="39"/>
      <c r="F191" s="40"/>
      <c r="G191" s="49"/>
      <c r="H191" s="60">
        <f t="shared" si="27"/>
        <v>0</v>
      </c>
      <c r="I191" s="49">
        <f t="shared" si="28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49">
        <f t="shared" si="29"/>
        <v>0</v>
      </c>
      <c r="V191" s="29">
        <f t="shared" si="30"/>
        <v>0</v>
      </c>
      <c r="W191" s="29">
        <f t="shared" si="31"/>
        <v>0</v>
      </c>
      <c r="X191" s="61">
        <f t="shared" si="32"/>
        <v>0</v>
      </c>
      <c r="Y191" s="61"/>
      <c r="Z191" s="61"/>
      <c r="AA191" s="61"/>
      <c r="AB191" s="61"/>
      <c r="AC191" s="61"/>
      <c r="AD191" s="61"/>
      <c r="AE191" s="49">
        <f t="shared" si="33"/>
        <v>0</v>
      </c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49">
        <f t="shared" si="34"/>
        <v>0</v>
      </c>
    </row>
    <row r="192" spans="1:57" ht="15" hidden="1" customHeight="1" x14ac:dyDescent="0.2">
      <c r="A192" s="36">
        <v>181</v>
      </c>
      <c r="B192" s="59"/>
      <c r="C192" s="38"/>
      <c r="D192" s="38" t="e">
        <f>VLOOKUP(C192,Planilha1!$J$2:$L$206,3,)</f>
        <v>#N/A</v>
      </c>
      <c r="E192" s="39"/>
      <c r="F192" s="40"/>
      <c r="G192" s="49"/>
      <c r="H192" s="60">
        <f t="shared" si="27"/>
        <v>0</v>
      </c>
      <c r="I192" s="49">
        <f t="shared" si="28"/>
        <v>0</v>
      </c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49">
        <f t="shared" si="29"/>
        <v>0</v>
      </c>
      <c r="V192" s="29">
        <f t="shared" si="30"/>
        <v>0</v>
      </c>
      <c r="W192" s="29">
        <f t="shared" si="31"/>
        <v>0</v>
      </c>
      <c r="X192" s="61">
        <f t="shared" si="32"/>
        <v>0</v>
      </c>
      <c r="Y192" s="61"/>
      <c r="Z192" s="61"/>
      <c r="AA192" s="61"/>
      <c r="AB192" s="61"/>
      <c r="AC192" s="61"/>
      <c r="AD192" s="61"/>
      <c r="AE192" s="49">
        <f t="shared" si="33"/>
        <v>0</v>
      </c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49">
        <f t="shared" si="34"/>
        <v>0</v>
      </c>
    </row>
    <row r="193" spans="1:57" ht="15" hidden="1" customHeight="1" x14ac:dyDescent="0.2">
      <c r="A193" s="36">
        <v>182</v>
      </c>
      <c r="B193" s="59"/>
      <c r="C193" s="38"/>
      <c r="D193" s="38" t="e">
        <f>VLOOKUP(C193,Planilha1!$J$2:$L$206,3,)</f>
        <v>#N/A</v>
      </c>
      <c r="E193" s="39"/>
      <c r="F193" s="40"/>
      <c r="G193" s="49"/>
      <c r="H193" s="60">
        <f t="shared" si="27"/>
        <v>0</v>
      </c>
      <c r="I193" s="49">
        <f t="shared" si="28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49">
        <f t="shared" si="29"/>
        <v>0</v>
      </c>
      <c r="V193" s="29">
        <f t="shared" si="30"/>
        <v>0</v>
      </c>
      <c r="W193" s="29">
        <f t="shared" si="31"/>
        <v>0</v>
      </c>
      <c r="X193" s="61">
        <f t="shared" si="32"/>
        <v>0</v>
      </c>
      <c r="Y193" s="61"/>
      <c r="Z193" s="61"/>
      <c r="AA193" s="61"/>
      <c r="AB193" s="61"/>
      <c r="AC193" s="61"/>
      <c r="AD193" s="61"/>
      <c r="AE193" s="49">
        <f t="shared" si="33"/>
        <v>0</v>
      </c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49">
        <f t="shared" si="34"/>
        <v>0</v>
      </c>
    </row>
    <row r="194" spans="1:57" ht="15" hidden="1" customHeight="1" x14ac:dyDescent="0.2">
      <c r="A194" s="36">
        <v>183</v>
      </c>
      <c r="B194" s="59"/>
      <c r="C194" s="38"/>
      <c r="D194" s="38" t="e">
        <f>VLOOKUP(C194,Planilha1!$J$2:$L$206,3,)</f>
        <v>#N/A</v>
      </c>
      <c r="E194" s="39"/>
      <c r="F194" s="40"/>
      <c r="G194" s="49"/>
      <c r="H194" s="60">
        <f t="shared" si="27"/>
        <v>0</v>
      </c>
      <c r="I194" s="49">
        <f t="shared" si="28"/>
        <v>0</v>
      </c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49">
        <f t="shared" si="29"/>
        <v>0</v>
      </c>
      <c r="V194" s="29">
        <f t="shared" si="30"/>
        <v>0</v>
      </c>
      <c r="W194" s="29">
        <f t="shared" si="31"/>
        <v>0</v>
      </c>
      <c r="X194" s="61">
        <f t="shared" si="32"/>
        <v>0</v>
      </c>
      <c r="Y194" s="61"/>
      <c r="Z194" s="61"/>
      <c r="AA194" s="61"/>
      <c r="AB194" s="61"/>
      <c r="AC194" s="61"/>
      <c r="AD194" s="61"/>
      <c r="AE194" s="49">
        <f t="shared" si="33"/>
        <v>0</v>
      </c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49">
        <f t="shared" si="34"/>
        <v>0</v>
      </c>
    </row>
    <row r="195" spans="1:57" ht="15" hidden="1" customHeight="1" x14ac:dyDescent="0.2">
      <c r="A195" s="36">
        <v>184</v>
      </c>
      <c r="B195" s="59"/>
      <c r="C195" s="38"/>
      <c r="D195" s="38" t="e">
        <f>VLOOKUP(C195,Planilha1!$J$2:$L$206,3,)</f>
        <v>#N/A</v>
      </c>
      <c r="E195" s="39"/>
      <c r="F195" s="40"/>
      <c r="G195" s="49"/>
      <c r="H195" s="60">
        <f t="shared" si="27"/>
        <v>0</v>
      </c>
      <c r="I195" s="49">
        <f t="shared" si="28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49">
        <f t="shared" si="29"/>
        <v>0</v>
      </c>
      <c r="V195" s="29">
        <f t="shared" si="30"/>
        <v>0</v>
      </c>
      <c r="W195" s="29">
        <f t="shared" si="31"/>
        <v>0</v>
      </c>
      <c r="X195" s="61">
        <f t="shared" si="32"/>
        <v>0</v>
      </c>
      <c r="Y195" s="61"/>
      <c r="Z195" s="61"/>
      <c r="AA195" s="61"/>
      <c r="AB195" s="61"/>
      <c r="AC195" s="61"/>
      <c r="AD195" s="61"/>
      <c r="AE195" s="49">
        <f t="shared" si="33"/>
        <v>0</v>
      </c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49">
        <f t="shared" si="34"/>
        <v>0</v>
      </c>
    </row>
    <row r="196" spans="1:57" ht="15" hidden="1" customHeight="1" x14ac:dyDescent="0.2">
      <c r="A196" s="36">
        <v>185</v>
      </c>
      <c r="B196" s="59"/>
      <c r="C196" s="38"/>
      <c r="D196" s="38" t="e">
        <f>VLOOKUP(C196,Planilha1!$J$2:$L$206,3,)</f>
        <v>#N/A</v>
      </c>
      <c r="E196" s="39"/>
      <c r="F196" s="40"/>
      <c r="G196" s="49"/>
      <c r="H196" s="60">
        <f t="shared" si="27"/>
        <v>0</v>
      </c>
      <c r="I196" s="49">
        <f t="shared" si="28"/>
        <v>0</v>
      </c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49">
        <f t="shared" si="29"/>
        <v>0</v>
      </c>
      <c r="V196" s="29">
        <f t="shared" si="30"/>
        <v>0</v>
      </c>
      <c r="W196" s="29">
        <f t="shared" si="31"/>
        <v>0</v>
      </c>
      <c r="X196" s="61">
        <f t="shared" si="32"/>
        <v>0</v>
      </c>
      <c r="Y196" s="61"/>
      <c r="Z196" s="61"/>
      <c r="AA196" s="61"/>
      <c r="AB196" s="61"/>
      <c r="AC196" s="61"/>
      <c r="AD196" s="61"/>
      <c r="AE196" s="49">
        <f t="shared" si="33"/>
        <v>0</v>
      </c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49">
        <f t="shared" si="34"/>
        <v>0</v>
      </c>
    </row>
    <row r="197" spans="1:57" ht="15" hidden="1" customHeight="1" x14ac:dyDescent="0.2">
      <c r="A197" s="36">
        <v>186</v>
      </c>
      <c r="B197" s="59"/>
      <c r="C197" s="38"/>
      <c r="D197" s="38" t="e">
        <f>VLOOKUP(C197,Planilha1!$J$2:$L$206,3,)</f>
        <v>#N/A</v>
      </c>
      <c r="E197" s="39"/>
      <c r="F197" s="40"/>
      <c r="G197" s="49"/>
      <c r="H197" s="60">
        <f t="shared" si="27"/>
        <v>0</v>
      </c>
      <c r="I197" s="49">
        <f t="shared" si="28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49">
        <f t="shared" si="29"/>
        <v>0</v>
      </c>
      <c r="V197" s="29">
        <f t="shared" si="30"/>
        <v>0</v>
      </c>
      <c r="W197" s="29">
        <f t="shared" si="31"/>
        <v>0</v>
      </c>
      <c r="X197" s="61">
        <f t="shared" si="32"/>
        <v>0</v>
      </c>
      <c r="Y197" s="61"/>
      <c r="Z197" s="61"/>
      <c r="AA197" s="61"/>
      <c r="AB197" s="61"/>
      <c r="AC197" s="61"/>
      <c r="AD197" s="61"/>
      <c r="AE197" s="49">
        <f t="shared" si="33"/>
        <v>0</v>
      </c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49">
        <f t="shared" si="34"/>
        <v>0</v>
      </c>
    </row>
    <row r="198" spans="1:57" ht="15" hidden="1" customHeight="1" x14ac:dyDescent="0.2">
      <c r="A198" s="36">
        <v>187</v>
      </c>
      <c r="B198" s="59"/>
      <c r="C198" s="38"/>
      <c r="D198" s="38" t="e">
        <f>VLOOKUP(C198,Planilha1!$J$2:$L$206,3,)</f>
        <v>#N/A</v>
      </c>
      <c r="E198" s="39"/>
      <c r="F198" s="40"/>
      <c r="G198" s="49"/>
      <c r="H198" s="60">
        <f t="shared" si="27"/>
        <v>0</v>
      </c>
      <c r="I198" s="49">
        <f t="shared" si="28"/>
        <v>0</v>
      </c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49">
        <f t="shared" si="29"/>
        <v>0</v>
      </c>
      <c r="V198" s="29">
        <f t="shared" si="30"/>
        <v>0</v>
      </c>
      <c r="W198" s="29">
        <f t="shared" si="31"/>
        <v>0</v>
      </c>
      <c r="X198" s="61">
        <f t="shared" si="32"/>
        <v>0</v>
      </c>
      <c r="Y198" s="61"/>
      <c r="Z198" s="61"/>
      <c r="AA198" s="61"/>
      <c r="AB198" s="61"/>
      <c r="AC198" s="61"/>
      <c r="AD198" s="61"/>
      <c r="AE198" s="49">
        <f t="shared" si="33"/>
        <v>0</v>
      </c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49">
        <f t="shared" si="34"/>
        <v>0</v>
      </c>
    </row>
    <row r="199" spans="1:57" ht="15" hidden="1" customHeight="1" x14ac:dyDescent="0.2">
      <c r="A199" s="36">
        <v>188</v>
      </c>
      <c r="B199" s="59"/>
      <c r="C199" s="38"/>
      <c r="D199" s="38" t="e">
        <f>VLOOKUP(C199,Planilha1!$J$2:$L$206,3,)</f>
        <v>#N/A</v>
      </c>
      <c r="E199" s="39"/>
      <c r="F199" s="40"/>
      <c r="G199" s="49"/>
      <c r="H199" s="60">
        <f t="shared" si="27"/>
        <v>0</v>
      </c>
      <c r="I199" s="49">
        <f t="shared" si="28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49">
        <f t="shared" si="29"/>
        <v>0</v>
      </c>
      <c r="V199" s="29">
        <f t="shared" si="30"/>
        <v>0</v>
      </c>
      <c r="W199" s="29">
        <f t="shared" si="31"/>
        <v>0</v>
      </c>
      <c r="X199" s="61">
        <f t="shared" si="32"/>
        <v>0</v>
      </c>
      <c r="Y199" s="61"/>
      <c r="Z199" s="61"/>
      <c r="AA199" s="61"/>
      <c r="AB199" s="61"/>
      <c r="AC199" s="61"/>
      <c r="AD199" s="61"/>
      <c r="AE199" s="49">
        <f t="shared" si="33"/>
        <v>0</v>
      </c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49">
        <f t="shared" si="34"/>
        <v>0</v>
      </c>
    </row>
    <row r="200" spans="1:57" ht="15" hidden="1" customHeight="1" x14ac:dyDescent="0.2">
      <c r="A200" s="36">
        <v>189</v>
      </c>
      <c r="B200" s="59"/>
      <c r="C200" s="38"/>
      <c r="D200" s="38" t="e">
        <f>VLOOKUP(C200,Planilha1!$J$2:$L$206,3,)</f>
        <v>#N/A</v>
      </c>
      <c r="E200" s="39"/>
      <c r="F200" s="40"/>
      <c r="G200" s="49"/>
      <c r="H200" s="60">
        <f t="shared" si="27"/>
        <v>0</v>
      </c>
      <c r="I200" s="49">
        <f t="shared" si="28"/>
        <v>0</v>
      </c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49">
        <f t="shared" si="29"/>
        <v>0</v>
      </c>
      <c r="V200" s="29">
        <f t="shared" si="30"/>
        <v>0</v>
      </c>
      <c r="W200" s="29">
        <f t="shared" si="31"/>
        <v>0</v>
      </c>
      <c r="X200" s="61">
        <f t="shared" si="32"/>
        <v>0</v>
      </c>
      <c r="Y200" s="61"/>
      <c r="Z200" s="61"/>
      <c r="AA200" s="61"/>
      <c r="AB200" s="61"/>
      <c r="AC200" s="61"/>
      <c r="AD200" s="61"/>
      <c r="AE200" s="49">
        <f t="shared" si="33"/>
        <v>0</v>
      </c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49">
        <f t="shared" si="34"/>
        <v>0</v>
      </c>
    </row>
    <row r="201" spans="1:57" ht="15" hidden="1" customHeight="1" x14ac:dyDescent="0.2">
      <c r="A201" s="36">
        <v>190</v>
      </c>
      <c r="B201" s="59"/>
      <c r="C201" s="38"/>
      <c r="D201" s="38" t="e">
        <f>VLOOKUP(C201,Planilha1!$J$2:$L$206,3,)</f>
        <v>#N/A</v>
      </c>
      <c r="E201" s="39"/>
      <c r="F201" s="40"/>
      <c r="G201" s="49"/>
      <c r="H201" s="60">
        <f t="shared" si="27"/>
        <v>0</v>
      </c>
      <c r="I201" s="49">
        <f t="shared" si="28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49">
        <f t="shared" si="29"/>
        <v>0</v>
      </c>
      <c r="V201" s="29">
        <f t="shared" si="30"/>
        <v>0</v>
      </c>
      <c r="W201" s="29">
        <f t="shared" si="31"/>
        <v>0</v>
      </c>
      <c r="X201" s="61">
        <f t="shared" si="32"/>
        <v>0</v>
      </c>
      <c r="Y201" s="61"/>
      <c r="Z201" s="61"/>
      <c r="AA201" s="61"/>
      <c r="AB201" s="61"/>
      <c r="AC201" s="61"/>
      <c r="AD201" s="61"/>
      <c r="AE201" s="49">
        <f t="shared" si="33"/>
        <v>0</v>
      </c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49">
        <f t="shared" si="34"/>
        <v>0</v>
      </c>
    </row>
    <row r="202" spans="1:57" ht="15" hidden="1" customHeight="1" x14ac:dyDescent="0.2">
      <c r="A202" s="36">
        <v>191</v>
      </c>
      <c r="B202" s="59"/>
      <c r="C202" s="38"/>
      <c r="D202" s="38" t="e">
        <f>VLOOKUP(C202,Planilha1!$J$2:$L$206,3,)</f>
        <v>#N/A</v>
      </c>
      <c r="E202" s="39"/>
      <c r="F202" s="40"/>
      <c r="G202" s="49"/>
      <c r="H202" s="60">
        <f t="shared" si="27"/>
        <v>0</v>
      </c>
      <c r="I202" s="49">
        <f t="shared" si="28"/>
        <v>0</v>
      </c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49">
        <f t="shared" si="29"/>
        <v>0</v>
      </c>
      <c r="V202" s="29">
        <f t="shared" si="30"/>
        <v>0</v>
      </c>
      <c r="W202" s="29">
        <f t="shared" si="31"/>
        <v>0</v>
      </c>
      <c r="X202" s="61">
        <f t="shared" si="32"/>
        <v>0</v>
      </c>
      <c r="Y202" s="61"/>
      <c r="Z202" s="61"/>
      <c r="AA202" s="61"/>
      <c r="AB202" s="61"/>
      <c r="AC202" s="61"/>
      <c r="AD202" s="61"/>
      <c r="AE202" s="49">
        <f t="shared" si="33"/>
        <v>0</v>
      </c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49">
        <f t="shared" si="34"/>
        <v>0</v>
      </c>
    </row>
    <row r="203" spans="1:57" ht="15" hidden="1" customHeight="1" x14ac:dyDescent="0.2">
      <c r="A203" s="36">
        <v>192</v>
      </c>
      <c r="B203" s="59"/>
      <c r="C203" s="38"/>
      <c r="D203" s="38" t="e">
        <f>VLOOKUP(C203,Planilha1!$J$2:$L$206,3,)</f>
        <v>#N/A</v>
      </c>
      <c r="E203" s="39"/>
      <c r="F203" s="40"/>
      <c r="G203" s="49"/>
      <c r="H203" s="60">
        <f t="shared" si="27"/>
        <v>0</v>
      </c>
      <c r="I203" s="49">
        <f t="shared" si="28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49">
        <f t="shared" si="29"/>
        <v>0</v>
      </c>
      <c r="V203" s="29">
        <f t="shared" si="30"/>
        <v>0</v>
      </c>
      <c r="W203" s="29">
        <f t="shared" si="31"/>
        <v>0</v>
      </c>
      <c r="X203" s="61">
        <f t="shared" si="32"/>
        <v>0</v>
      </c>
      <c r="Y203" s="61"/>
      <c r="Z203" s="61"/>
      <c r="AA203" s="61"/>
      <c r="AB203" s="61"/>
      <c r="AC203" s="61"/>
      <c r="AD203" s="61"/>
      <c r="AE203" s="49">
        <f t="shared" si="33"/>
        <v>0</v>
      </c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49">
        <f t="shared" si="34"/>
        <v>0</v>
      </c>
    </row>
    <row r="204" spans="1:57" ht="15" hidden="1" customHeight="1" x14ac:dyDescent="0.2">
      <c r="A204" s="36">
        <v>193</v>
      </c>
      <c r="B204" s="59"/>
      <c r="C204" s="38"/>
      <c r="D204" s="38" t="e">
        <f>VLOOKUP(C204,Planilha1!$J$2:$L$206,3,)</f>
        <v>#N/A</v>
      </c>
      <c r="E204" s="39"/>
      <c r="F204" s="40"/>
      <c r="G204" s="49"/>
      <c r="H204" s="60">
        <f t="shared" si="27"/>
        <v>0</v>
      </c>
      <c r="I204" s="49">
        <f t="shared" si="28"/>
        <v>0</v>
      </c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49">
        <f t="shared" si="29"/>
        <v>0</v>
      </c>
      <c r="V204" s="29">
        <f t="shared" si="30"/>
        <v>0</v>
      </c>
      <c r="W204" s="29">
        <f t="shared" si="31"/>
        <v>0</v>
      </c>
      <c r="X204" s="61">
        <f t="shared" si="32"/>
        <v>0</v>
      </c>
      <c r="Y204" s="61"/>
      <c r="Z204" s="61"/>
      <c r="AA204" s="61"/>
      <c r="AB204" s="61"/>
      <c r="AC204" s="61"/>
      <c r="AD204" s="61"/>
      <c r="AE204" s="49">
        <f t="shared" si="33"/>
        <v>0</v>
      </c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49">
        <f t="shared" si="34"/>
        <v>0</v>
      </c>
    </row>
    <row r="205" spans="1:57" ht="15" hidden="1" customHeight="1" x14ac:dyDescent="0.2">
      <c r="A205" s="36">
        <v>194</v>
      </c>
      <c r="B205" s="59"/>
      <c r="C205" s="38"/>
      <c r="D205" s="38" t="e">
        <f>VLOOKUP(C205,Planilha1!$J$2:$L$206,3,)</f>
        <v>#N/A</v>
      </c>
      <c r="E205" s="39"/>
      <c r="F205" s="40"/>
      <c r="G205" s="49"/>
      <c r="H205" s="60">
        <f t="shared" si="27"/>
        <v>0</v>
      </c>
      <c r="I205" s="49">
        <f t="shared" si="28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49">
        <f t="shared" si="29"/>
        <v>0</v>
      </c>
      <c r="V205" s="29">
        <f t="shared" si="30"/>
        <v>0</v>
      </c>
      <c r="W205" s="29">
        <f t="shared" si="31"/>
        <v>0</v>
      </c>
      <c r="X205" s="61">
        <f t="shared" si="32"/>
        <v>0</v>
      </c>
      <c r="Y205" s="61"/>
      <c r="Z205" s="61"/>
      <c r="AA205" s="61"/>
      <c r="AB205" s="61"/>
      <c r="AC205" s="61"/>
      <c r="AD205" s="61"/>
      <c r="AE205" s="49">
        <f t="shared" si="33"/>
        <v>0</v>
      </c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49">
        <f t="shared" si="34"/>
        <v>0</v>
      </c>
    </row>
    <row r="206" spans="1:57" ht="15" hidden="1" customHeight="1" x14ac:dyDescent="0.2">
      <c r="A206" s="36">
        <v>195</v>
      </c>
      <c r="B206" s="59"/>
      <c r="C206" s="38"/>
      <c r="D206" s="38" t="e">
        <f>VLOOKUP(C206,Planilha1!$J$2:$L$206,3,)</f>
        <v>#N/A</v>
      </c>
      <c r="E206" s="39"/>
      <c r="F206" s="40"/>
      <c r="G206" s="49"/>
      <c r="H206" s="60">
        <f t="shared" si="27"/>
        <v>0</v>
      </c>
      <c r="I206" s="49">
        <f t="shared" si="28"/>
        <v>0</v>
      </c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49">
        <f t="shared" si="29"/>
        <v>0</v>
      </c>
      <c r="V206" s="29">
        <f t="shared" si="30"/>
        <v>0</v>
      </c>
      <c r="W206" s="29">
        <f t="shared" si="31"/>
        <v>0</v>
      </c>
      <c r="X206" s="61">
        <f t="shared" si="32"/>
        <v>0</v>
      </c>
      <c r="Y206" s="61"/>
      <c r="Z206" s="61"/>
      <c r="AA206" s="61"/>
      <c r="AB206" s="61"/>
      <c r="AC206" s="61"/>
      <c r="AD206" s="61"/>
      <c r="AE206" s="49">
        <f t="shared" si="33"/>
        <v>0</v>
      </c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49">
        <f t="shared" si="34"/>
        <v>0</v>
      </c>
    </row>
    <row r="207" spans="1:57" ht="15" hidden="1" customHeight="1" x14ac:dyDescent="0.2">
      <c r="A207" s="36">
        <v>196</v>
      </c>
      <c r="B207" s="59"/>
      <c r="C207" s="38"/>
      <c r="D207" s="38" t="e">
        <f>VLOOKUP(C207,Planilha1!$J$2:$L$206,3,)</f>
        <v>#N/A</v>
      </c>
      <c r="E207" s="39"/>
      <c r="F207" s="40"/>
      <c r="G207" s="49"/>
      <c r="H207" s="60">
        <f t="shared" si="27"/>
        <v>0</v>
      </c>
      <c r="I207" s="49">
        <f t="shared" si="28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49">
        <f t="shared" si="29"/>
        <v>0</v>
      </c>
      <c r="V207" s="29">
        <f t="shared" si="30"/>
        <v>0</v>
      </c>
      <c r="W207" s="29">
        <f t="shared" si="31"/>
        <v>0</v>
      </c>
      <c r="X207" s="61">
        <f t="shared" si="32"/>
        <v>0</v>
      </c>
      <c r="Y207" s="61"/>
      <c r="Z207" s="61"/>
      <c r="AA207" s="61"/>
      <c r="AB207" s="61"/>
      <c r="AC207" s="61"/>
      <c r="AD207" s="61"/>
      <c r="AE207" s="49">
        <f t="shared" si="33"/>
        <v>0</v>
      </c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49">
        <f t="shared" si="34"/>
        <v>0</v>
      </c>
    </row>
    <row r="208" spans="1:57" ht="15" hidden="1" customHeight="1" x14ac:dyDescent="0.2">
      <c r="A208" s="36">
        <v>197</v>
      </c>
      <c r="B208" s="59"/>
      <c r="C208" s="38"/>
      <c r="D208" s="38" t="e">
        <f>VLOOKUP(C208,Planilha1!$J$2:$L$206,3,)</f>
        <v>#N/A</v>
      </c>
      <c r="E208" s="39"/>
      <c r="F208" s="40"/>
      <c r="G208" s="49"/>
      <c r="H208" s="60">
        <f t="shared" si="27"/>
        <v>0</v>
      </c>
      <c r="I208" s="49">
        <f t="shared" si="28"/>
        <v>0</v>
      </c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49">
        <f t="shared" si="29"/>
        <v>0</v>
      </c>
      <c r="V208" s="29">
        <f t="shared" si="30"/>
        <v>0</v>
      </c>
      <c r="W208" s="29">
        <f t="shared" si="31"/>
        <v>0</v>
      </c>
      <c r="X208" s="61">
        <f t="shared" si="32"/>
        <v>0</v>
      </c>
      <c r="Y208" s="61"/>
      <c r="Z208" s="61"/>
      <c r="AA208" s="61"/>
      <c r="AB208" s="61"/>
      <c r="AC208" s="61"/>
      <c r="AD208" s="61"/>
      <c r="AE208" s="49">
        <f t="shared" si="33"/>
        <v>0</v>
      </c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49">
        <f t="shared" si="34"/>
        <v>0</v>
      </c>
    </row>
    <row r="209" spans="1:57" ht="15" hidden="1" customHeight="1" x14ac:dyDescent="0.2">
      <c r="A209" s="36">
        <v>198</v>
      </c>
      <c r="B209" s="59"/>
      <c r="C209" s="38"/>
      <c r="D209" s="38" t="e">
        <f>VLOOKUP(C209,Planilha1!$J$2:$L$206,3,)</f>
        <v>#N/A</v>
      </c>
      <c r="E209" s="39"/>
      <c r="F209" s="40"/>
      <c r="G209" s="49"/>
      <c r="H209" s="60">
        <f t="shared" si="27"/>
        <v>0</v>
      </c>
      <c r="I209" s="49">
        <f t="shared" si="28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49">
        <f t="shared" si="29"/>
        <v>0</v>
      </c>
      <c r="V209" s="29">
        <f t="shared" si="30"/>
        <v>0</v>
      </c>
      <c r="W209" s="29">
        <f t="shared" si="31"/>
        <v>0</v>
      </c>
      <c r="X209" s="61">
        <f t="shared" si="32"/>
        <v>0</v>
      </c>
      <c r="Y209" s="61"/>
      <c r="Z209" s="61"/>
      <c r="AA209" s="61"/>
      <c r="AB209" s="61"/>
      <c r="AC209" s="61"/>
      <c r="AD209" s="61"/>
      <c r="AE209" s="49">
        <f t="shared" si="33"/>
        <v>0</v>
      </c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49">
        <f t="shared" si="34"/>
        <v>0</v>
      </c>
    </row>
    <row r="210" spans="1:57" ht="15" hidden="1" customHeight="1" x14ac:dyDescent="0.2">
      <c r="A210" s="36">
        <v>199</v>
      </c>
      <c r="B210" s="59"/>
      <c r="C210" s="38"/>
      <c r="D210" s="38" t="e">
        <f>VLOOKUP(C210,Planilha1!$J$2:$L$206,3,)</f>
        <v>#N/A</v>
      </c>
      <c r="E210" s="39"/>
      <c r="F210" s="40"/>
      <c r="G210" s="49"/>
      <c r="H210" s="60">
        <f t="shared" si="27"/>
        <v>0</v>
      </c>
      <c r="I210" s="49">
        <f t="shared" si="28"/>
        <v>0</v>
      </c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49">
        <f t="shared" si="29"/>
        <v>0</v>
      </c>
      <c r="V210" s="29">
        <f t="shared" si="30"/>
        <v>0</v>
      </c>
      <c r="W210" s="29">
        <f t="shared" si="31"/>
        <v>0</v>
      </c>
      <c r="X210" s="61">
        <f t="shared" si="32"/>
        <v>0</v>
      </c>
      <c r="Y210" s="61"/>
      <c r="Z210" s="61"/>
      <c r="AA210" s="61"/>
      <c r="AB210" s="61"/>
      <c r="AC210" s="61"/>
      <c r="AD210" s="61"/>
      <c r="AE210" s="49">
        <f t="shared" si="33"/>
        <v>0</v>
      </c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49">
        <f t="shared" si="34"/>
        <v>0</v>
      </c>
    </row>
    <row r="211" spans="1:57" ht="15" hidden="1" customHeight="1" x14ac:dyDescent="0.2">
      <c r="A211" s="36">
        <v>200</v>
      </c>
      <c r="B211" s="59"/>
      <c r="C211" s="38"/>
      <c r="D211" s="38" t="e">
        <f>VLOOKUP(C211,Planilha1!$J$2:$L$206,3,)</f>
        <v>#N/A</v>
      </c>
      <c r="E211" s="39"/>
      <c r="F211" s="40"/>
      <c r="G211" s="49"/>
      <c r="H211" s="60">
        <f t="shared" si="27"/>
        <v>0</v>
      </c>
      <c r="I211" s="49">
        <f t="shared" si="28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49">
        <f t="shared" si="29"/>
        <v>0</v>
      </c>
      <c r="V211" s="29">
        <f t="shared" si="30"/>
        <v>0</v>
      </c>
      <c r="W211" s="29">
        <f t="shared" si="31"/>
        <v>0</v>
      </c>
      <c r="X211" s="61">
        <f t="shared" si="32"/>
        <v>0</v>
      </c>
      <c r="Y211" s="61"/>
      <c r="Z211" s="61"/>
      <c r="AA211" s="61"/>
      <c r="AB211" s="61"/>
      <c r="AC211" s="61"/>
      <c r="AD211" s="61"/>
      <c r="AE211" s="49">
        <f t="shared" si="33"/>
        <v>0</v>
      </c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49">
        <f t="shared" si="34"/>
        <v>0</v>
      </c>
    </row>
    <row r="212" spans="1:57" ht="15" hidden="1" customHeight="1" x14ac:dyDescent="0.2">
      <c r="A212" s="36">
        <v>201</v>
      </c>
      <c r="B212" s="59"/>
      <c r="C212" s="38"/>
      <c r="D212" s="38" t="e">
        <f>VLOOKUP(C212,Planilha1!$J$2:$L$206,3,)</f>
        <v>#N/A</v>
      </c>
      <c r="E212" s="39"/>
      <c r="F212" s="40"/>
      <c r="G212" s="49"/>
      <c r="H212" s="60">
        <f t="shared" si="27"/>
        <v>0</v>
      </c>
      <c r="I212" s="49">
        <f t="shared" si="28"/>
        <v>0</v>
      </c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49">
        <f t="shared" si="29"/>
        <v>0</v>
      </c>
      <c r="V212" s="29">
        <f t="shared" si="30"/>
        <v>0</v>
      </c>
      <c r="W212" s="29">
        <f t="shared" si="31"/>
        <v>0</v>
      </c>
      <c r="X212" s="61">
        <f t="shared" si="32"/>
        <v>0</v>
      </c>
      <c r="Y212" s="61"/>
      <c r="Z212" s="61"/>
      <c r="AA212" s="61"/>
      <c r="AB212" s="61"/>
      <c r="AC212" s="61"/>
      <c r="AD212" s="61"/>
      <c r="AE212" s="49">
        <f t="shared" si="33"/>
        <v>0</v>
      </c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49">
        <f t="shared" si="34"/>
        <v>0</v>
      </c>
    </row>
    <row r="213" spans="1:57" ht="15" hidden="1" customHeight="1" x14ac:dyDescent="0.2">
      <c r="A213" s="36">
        <v>202</v>
      </c>
      <c r="B213" s="59"/>
      <c r="C213" s="38"/>
      <c r="D213" s="38" t="e">
        <f>VLOOKUP(C213,Planilha1!$J$2:$L$206,3,)</f>
        <v>#N/A</v>
      </c>
      <c r="E213" s="39"/>
      <c r="F213" s="40"/>
      <c r="G213" s="49"/>
      <c r="H213" s="60">
        <f t="shared" si="27"/>
        <v>0</v>
      </c>
      <c r="I213" s="49">
        <f t="shared" si="28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49">
        <f t="shared" si="29"/>
        <v>0</v>
      </c>
      <c r="V213" s="29">
        <f t="shared" si="30"/>
        <v>0</v>
      </c>
      <c r="W213" s="29">
        <f t="shared" si="31"/>
        <v>0</v>
      </c>
      <c r="X213" s="61">
        <f t="shared" si="32"/>
        <v>0</v>
      </c>
      <c r="Y213" s="61"/>
      <c r="Z213" s="61"/>
      <c r="AA213" s="61"/>
      <c r="AB213" s="61"/>
      <c r="AC213" s="61"/>
      <c r="AD213" s="61"/>
      <c r="AE213" s="49">
        <f t="shared" si="33"/>
        <v>0</v>
      </c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49">
        <f t="shared" si="34"/>
        <v>0</v>
      </c>
    </row>
    <row r="214" spans="1:57" ht="15" hidden="1" customHeight="1" x14ac:dyDescent="0.2">
      <c r="A214" s="36">
        <v>203</v>
      </c>
      <c r="B214" s="59"/>
      <c r="C214" s="38"/>
      <c r="D214" s="38" t="e">
        <f>VLOOKUP(C214,Planilha1!$J$2:$L$206,3,)</f>
        <v>#N/A</v>
      </c>
      <c r="E214" s="39"/>
      <c r="F214" s="40"/>
      <c r="G214" s="49"/>
      <c r="H214" s="60">
        <f t="shared" si="27"/>
        <v>0</v>
      </c>
      <c r="I214" s="49">
        <f t="shared" si="28"/>
        <v>0</v>
      </c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49">
        <f t="shared" si="29"/>
        <v>0</v>
      </c>
      <c r="V214" s="29">
        <f t="shared" si="30"/>
        <v>0</v>
      </c>
      <c r="W214" s="29">
        <f t="shared" si="31"/>
        <v>0</v>
      </c>
      <c r="X214" s="61">
        <f t="shared" si="32"/>
        <v>0</v>
      </c>
      <c r="Y214" s="61"/>
      <c r="Z214" s="61"/>
      <c r="AA214" s="61"/>
      <c r="AB214" s="61"/>
      <c r="AC214" s="61"/>
      <c r="AD214" s="61"/>
      <c r="AE214" s="49">
        <f t="shared" si="33"/>
        <v>0</v>
      </c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49">
        <f t="shared" si="34"/>
        <v>0</v>
      </c>
    </row>
    <row r="215" spans="1:57" ht="15" hidden="1" customHeight="1" x14ac:dyDescent="0.2">
      <c r="A215" s="36">
        <v>204</v>
      </c>
      <c r="B215" s="59"/>
      <c r="C215" s="38"/>
      <c r="D215" s="38" t="e">
        <f>VLOOKUP(C215,Planilha1!$J$2:$L$206,3,)</f>
        <v>#N/A</v>
      </c>
      <c r="E215" s="39"/>
      <c r="F215" s="40"/>
      <c r="G215" s="49"/>
      <c r="H215" s="60">
        <f t="shared" si="27"/>
        <v>0</v>
      </c>
      <c r="I215" s="49">
        <f t="shared" si="28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49">
        <f t="shared" si="29"/>
        <v>0</v>
      </c>
      <c r="V215" s="29">
        <f t="shared" si="30"/>
        <v>0</v>
      </c>
      <c r="W215" s="29">
        <f t="shared" si="31"/>
        <v>0</v>
      </c>
      <c r="X215" s="61">
        <f t="shared" si="32"/>
        <v>0</v>
      </c>
      <c r="Y215" s="61"/>
      <c r="Z215" s="61"/>
      <c r="AA215" s="61"/>
      <c r="AB215" s="61"/>
      <c r="AC215" s="61"/>
      <c r="AD215" s="61"/>
      <c r="AE215" s="49">
        <f t="shared" si="33"/>
        <v>0</v>
      </c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49">
        <f t="shared" si="34"/>
        <v>0</v>
      </c>
    </row>
    <row r="216" spans="1:57" ht="15" hidden="1" customHeight="1" x14ac:dyDescent="0.2">
      <c r="A216" s="36">
        <v>205</v>
      </c>
      <c r="B216" s="59"/>
      <c r="C216" s="38"/>
      <c r="D216" s="38" t="e">
        <f>VLOOKUP(C216,Planilha1!$J$2:$L$206,3,)</f>
        <v>#N/A</v>
      </c>
      <c r="E216" s="39"/>
      <c r="F216" s="40"/>
      <c r="G216" s="49"/>
      <c r="H216" s="60">
        <f t="shared" si="27"/>
        <v>0</v>
      </c>
      <c r="I216" s="49">
        <f t="shared" si="28"/>
        <v>0</v>
      </c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49">
        <f t="shared" si="29"/>
        <v>0</v>
      </c>
      <c r="V216" s="29">
        <f t="shared" si="30"/>
        <v>0</v>
      </c>
      <c r="W216" s="29">
        <f t="shared" si="31"/>
        <v>0</v>
      </c>
      <c r="X216" s="61">
        <f t="shared" si="32"/>
        <v>0</v>
      </c>
      <c r="Y216" s="61"/>
      <c r="Z216" s="61"/>
      <c r="AA216" s="61"/>
      <c r="AB216" s="61"/>
      <c r="AC216" s="61"/>
      <c r="AD216" s="61"/>
      <c r="AE216" s="49">
        <f t="shared" si="33"/>
        <v>0</v>
      </c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49">
        <f t="shared" si="34"/>
        <v>0</v>
      </c>
    </row>
    <row r="217" spans="1:57" ht="15" hidden="1" customHeight="1" x14ac:dyDescent="0.2">
      <c r="A217" s="36">
        <v>206</v>
      </c>
      <c r="B217" s="59"/>
      <c r="C217" s="38"/>
      <c r="D217" s="38" t="e">
        <f>VLOOKUP(C217,Planilha1!$J$2:$L$206,3,)</f>
        <v>#N/A</v>
      </c>
      <c r="E217" s="39"/>
      <c r="F217" s="40"/>
      <c r="G217" s="49"/>
      <c r="H217" s="60">
        <f t="shared" si="27"/>
        <v>0</v>
      </c>
      <c r="I217" s="49">
        <f t="shared" si="28"/>
        <v>0</v>
      </c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49">
        <f t="shared" si="29"/>
        <v>0</v>
      </c>
      <c r="V217" s="29">
        <f t="shared" si="30"/>
        <v>0</v>
      </c>
      <c r="W217" s="29">
        <f t="shared" si="31"/>
        <v>0</v>
      </c>
      <c r="X217" s="61">
        <f t="shared" si="32"/>
        <v>0</v>
      </c>
      <c r="Y217" s="61"/>
      <c r="Z217" s="61"/>
      <c r="AA217" s="61"/>
      <c r="AB217" s="61"/>
      <c r="AC217" s="61"/>
      <c r="AD217" s="61"/>
      <c r="AE217" s="49">
        <f t="shared" si="33"/>
        <v>0</v>
      </c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49">
        <f t="shared" si="34"/>
        <v>0</v>
      </c>
    </row>
    <row r="218" spans="1:57" ht="15" hidden="1" customHeight="1" x14ac:dyDescent="0.2">
      <c r="A218" s="36">
        <v>207</v>
      </c>
      <c r="B218" s="59"/>
      <c r="C218" s="38"/>
      <c r="D218" s="38" t="e">
        <f>VLOOKUP(C218,Planilha1!$J$2:$L$206,3,)</f>
        <v>#N/A</v>
      </c>
      <c r="E218" s="39"/>
      <c r="F218" s="40"/>
      <c r="G218" s="49"/>
      <c r="H218" s="60">
        <f t="shared" si="27"/>
        <v>0</v>
      </c>
      <c r="I218" s="49">
        <f t="shared" si="28"/>
        <v>0</v>
      </c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49">
        <f t="shared" si="29"/>
        <v>0</v>
      </c>
      <c r="V218" s="29">
        <f t="shared" si="30"/>
        <v>0</v>
      </c>
      <c r="W218" s="29">
        <f t="shared" si="31"/>
        <v>0</v>
      </c>
      <c r="X218" s="61">
        <f t="shared" si="32"/>
        <v>0</v>
      </c>
      <c r="Y218" s="61"/>
      <c r="Z218" s="61"/>
      <c r="AA218" s="61"/>
      <c r="AB218" s="61"/>
      <c r="AC218" s="61"/>
      <c r="AD218" s="61"/>
      <c r="AE218" s="49">
        <f t="shared" si="33"/>
        <v>0</v>
      </c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49">
        <f t="shared" si="34"/>
        <v>0</v>
      </c>
    </row>
    <row r="219" spans="1:57" ht="15" hidden="1" customHeight="1" x14ac:dyDescent="0.2">
      <c r="A219" s="36">
        <v>208</v>
      </c>
      <c r="B219" s="59"/>
      <c r="C219" s="38"/>
      <c r="D219" s="38" t="e">
        <f>VLOOKUP(C219,Planilha1!$J$2:$L$206,3,)</f>
        <v>#N/A</v>
      </c>
      <c r="E219" s="39"/>
      <c r="F219" s="40"/>
      <c r="G219" s="49"/>
      <c r="H219" s="60">
        <f t="shared" si="27"/>
        <v>0</v>
      </c>
      <c r="I219" s="49">
        <f t="shared" si="28"/>
        <v>0</v>
      </c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49">
        <f t="shared" si="29"/>
        <v>0</v>
      </c>
      <c r="V219" s="29">
        <f t="shared" si="30"/>
        <v>0</v>
      </c>
      <c r="W219" s="29">
        <f t="shared" si="31"/>
        <v>0</v>
      </c>
      <c r="X219" s="61">
        <f t="shared" si="32"/>
        <v>0</v>
      </c>
      <c r="Y219" s="61"/>
      <c r="Z219" s="61"/>
      <c r="AA219" s="61"/>
      <c r="AB219" s="61"/>
      <c r="AC219" s="61"/>
      <c r="AD219" s="61"/>
      <c r="AE219" s="49">
        <f t="shared" si="33"/>
        <v>0</v>
      </c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49">
        <f t="shared" si="34"/>
        <v>0</v>
      </c>
    </row>
    <row r="220" spans="1:57" ht="15" hidden="1" customHeight="1" x14ac:dyDescent="0.2">
      <c r="A220" s="36">
        <v>209</v>
      </c>
      <c r="B220" s="59"/>
      <c r="C220" s="38"/>
      <c r="D220" s="38" t="e">
        <f>VLOOKUP(C220,Planilha1!$J$2:$L$206,3,)</f>
        <v>#N/A</v>
      </c>
      <c r="E220" s="39"/>
      <c r="F220" s="40"/>
      <c r="G220" s="49"/>
      <c r="H220" s="60">
        <f t="shared" si="27"/>
        <v>0</v>
      </c>
      <c r="I220" s="49">
        <f t="shared" si="28"/>
        <v>0</v>
      </c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49">
        <f t="shared" si="29"/>
        <v>0</v>
      </c>
      <c r="V220" s="29">
        <f t="shared" si="30"/>
        <v>0</v>
      </c>
      <c r="W220" s="29">
        <f t="shared" si="31"/>
        <v>0</v>
      </c>
      <c r="X220" s="61">
        <f t="shared" si="32"/>
        <v>0</v>
      </c>
      <c r="Y220" s="61"/>
      <c r="Z220" s="61"/>
      <c r="AA220" s="61"/>
      <c r="AB220" s="61"/>
      <c r="AC220" s="61"/>
      <c r="AD220" s="61"/>
      <c r="AE220" s="49">
        <f t="shared" si="33"/>
        <v>0</v>
      </c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49">
        <f t="shared" si="34"/>
        <v>0</v>
      </c>
    </row>
    <row r="221" spans="1:57" ht="15" hidden="1" customHeight="1" x14ac:dyDescent="0.2">
      <c r="A221" s="36">
        <v>210</v>
      </c>
      <c r="B221" s="59"/>
      <c r="C221" s="38"/>
      <c r="D221" s="38" t="e">
        <f>VLOOKUP(C221,Planilha1!$J$2:$L$206,3,)</f>
        <v>#N/A</v>
      </c>
      <c r="E221" s="39"/>
      <c r="F221" s="40"/>
      <c r="G221" s="49"/>
      <c r="H221" s="60">
        <f t="shared" si="27"/>
        <v>0</v>
      </c>
      <c r="I221" s="49">
        <f t="shared" si="28"/>
        <v>0</v>
      </c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49">
        <f t="shared" si="29"/>
        <v>0</v>
      </c>
      <c r="V221" s="29">
        <f t="shared" si="30"/>
        <v>0</v>
      </c>
      <c r="W221" s="29">
        <f t="shared" si="31"/>
        <v>0</v>
      </c>
      <c r="X221" s="61">
        <f t="shared" si="32"/>
        <v>0</v>
      </c>
      <c r="Y221" s="61"/>
      <c r="Z221" s="61"/>
      <c r="AA221" s="61"/>
      <c r="AB221" s="61"/>
      <c r="AC221" s="61"/>
      <c r="AD221" s="61"/>
      <c r="AE221" s="49">
        <f t="shared" si="33"/>
        <v>0</v>
      </c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49">
        <f t="shared" si="34"/>
        <v>0</v>
      </c>
    </row>
    <row r="222" spans="1:57" ht="15" hidden="1" customHeight="1" x14ac:dyDescent="0.2">
      <c r="A222" s="36">
        <v>211</v>
      </c>
      <c r="B222" s="59"/>
      <c r="C222" s="38"/>
      <c r="D222" s="38" t="e">
        <f>VLOOKUP(C222,Planilha1!$J$2:$L$206,3,)</f>
        <v>#N/A</v>
      </c>
      <c r="E222" s="39"/>
      <c r="F222" s="40"/>
      <c r="G222" s="49"/>
      <c r="H222" s="60">
        <f t="shared" si="27"/>
        <v>0</v>
      </c>
      <c r="I222" s="49">
        <f t="shared" si="28"/>
        <v>0</v>
      </c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49">
        <f t="shared" si="29"/>
        <v>0</v>
      </c>
      <c r="V222" s="29">
        <f t="shared" si="30"/>
        <v>0</v>
      </c>
      <c r="W222" s="29">
        <f t="shared" si="31"/>
        <v>0</v>
      </c>
      <c r="X222" s="61">
        <f t="shared" si="32"/>
        <v>0</v>
      </c>
      <c r="Y222" s="61"/>
      <c r="Z222" s="61"/>
      <c r="AA222" s="61"/>
      <c r="AB222" s="61"/>
      <c r="AC222" s="61"/>
      <c r="AD222" s="61"/>
      <c r="AE222" s="49">
        <f t="shared" si="33"/>
        <v>0</v>
      </c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49">
        <f t="shared" si="34"/>
        <v>0</v>
      </c>
    </row>
    <row r="223" spans="1:57" ht="15" hidden="1" customHeight="1" x14ac:dyDescent="0.2">
      <c r="A223" s="36">
        <v>212</v>
      </c>
      <c r="B223" s="59"/>
      <c r="C223" s="38"/>
      <c r="D223" s="38" t="e">
        <f>VLOOKUP(C223,Planilha1!$J$2:$L$206,3,)</f>
        <v>#N/A</v>
      </c>
      <c r="E223" s="39"/>
      <c r="F223" s="40"/>
      <c r="G223" s="49"/>
      <c r="H223" s="60">
        <f t="shared" si="27"/>
        <v>0</v>
      </c>
      <c r="I223" s="49">
        <f t="shared" si="28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49">
        <f t="shared" si="29"/>
        <v>0</v>
      </c>
      <c r="V223" s="29">
        <f t="shared" si="30"/>
        <v>0</v>
      </c>
      <c r="W223" s="29">
        <f t="shared" si="31"/>
        <v>0</v>
      </c>
      <c r="X223" s="61">
        <f t="shared" si="32"/>
        <v>0</v>
      </c>
      <c r="Y223" s="61"/>
      <c r="Z223" s="61"/>
      <c r="AA223" s="61"/>
      <c r="AB223" s="61"/>
      <c r="AC223" s="61"/>
      <c r="AD223" s="61"/>
      <c r="AE223" s="49">
        <f t="shared" si="33"/>
        <v>0</v>
      </c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49">
        <f t="shared" si="34"/>
        <v>0</v>
      </c>
    </row>
    <row r="224" spans="1:57" ht="15" hidden="1" customHeight="1" x14ac:dyDescent="0.2">
      <c r="A224" s="36">
        <v>213</v>
      </c>
      <c r="B224" s="59"/>
      <c r="C224" s="38"/>
      <c r="D224" s="38" t="e">
        <f>VLOOKUP(C224,Planilha1!$J$2:$L$206,3,)</f>
        <v>#N/A</v>
      </c>
      <c r="E224" s="39"/>
      <c r="F224" s="40"/>
      <c r="G224" s="49"/>
      <c r="H224" s="60">
        <f t="shared" si="27"/>
        <v>0</v>
      </c>
      <c r="I224" s="49">
        <f t="shared" si="28"/>
        <v>0</v>
      </c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49">
        <f t="shared" si="29"/>
        <v>0</v>
      </c>
      <c r="V224" s="29">
        <f t="shared" si="30"/>
        <v>0</v>
      </c>
      <c r="W224" s="29">
        <f t="shared" si="31"/>
        <v>0</v>
      </c>
      <c r="X224" s="61">
        <f t="shared" si="32"/>
        <v>0</v>
      </c>
      <c r="Y224" s="61"/>
      <c r="Z224" s="61"/>
      <c r="AA224" s="61"/>
      <c r="AB224" s="61"/>
      <c r="AC224" s="61"/>
      <c r="AD224" s="61"/>
      <c r="AE224" s="49">
        <f t="shared" si="33"/>
        <v>0</v>
      </c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49">
        <f t="shared" si="34"/>
        <v>0</v>
      </c>
    </row>
    <row r="225" spans="1:57" ht="15" hidden="1" customHeight="1" x14ac:dyDescent="0.2">
      <c r="A225" s="36">
        <v>214</v>
      </c>
      <c r="B225" s="59"/>
      <c r="C225" s="38"/>
      <c r="D225" s="38" t="e">
        <f>VLOOKUP(C225,Planilha1!$J$2:$L$206,3,)</f>
        <v>#N/A</v>
      </c>
      <c r="E225" s="39"/>
      <c r="F225" s="40"/>
      <c r="G225" s="49"/>
      <c r="H225" s="60">
        <f t="shared" si="27"/>
        <v>0</v>
      </c>
      <c r="I225" s="49">
        <f t="shared" si="28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49">
        <f t="shared" si="29"/>
        <v>0</v>
      </c>
      <c r="V225" s="29">
        <f t="shared" si="30"/>
        <v>0</v>
      </c>
      <c r="W225" s="29">
        <f t="shared" si="31"/>
        <v>0</v>
      </c>
      <c r="X225" s="61">
        <f t="shared" si="32"/>
        <v>0</v>
      </c>
      <c r="Y225" s="61"/>
      <c r="Z225" s="61"/>
      <c r="AA225" s="61"/>
      <c r="AB225" s="61"/>
      <c r="AC225" s="61"/>
      <c r="AD225" s="61"/>
      <c r="AE225" s="49">
        <f t="shared" si="33"/>
        <v>0</v>
      </c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49">
        <f t="shared" si="34"/>
        <v>0</v>
      </c>
    </row>
    <row r="226" spans="1:57" ht="15" hidden="1" customHeight="1" x14ac:dyDescent="0.2">
      <c r="A226" s="36">
        <v>215</v>
      </c>
      <c r="B226" s="59"/>
      <c r="C226" s="38"/>
      <c r="D226" s="38" t="e">
        <f>VLOOKUP(C226,Planilha1!$J$2:$L$206,3,)</f>
        <v>#N/A</v>
      </c>
      <c r="E226" s="39"/>
      <c r="F226" s="40"/>
      <c r="G226" s="49"/>
      <c r="H226" s="60">
        <f t="shared" si="27"/>
        <v>0</v>
      </c>
      <c r="I226" s="49">
        <f t="shared" si="28"/>
        <v>0</v>
      </c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49">
        <f t="shared" si="29"/>
        <v>0</v>
      </c>
      <c r="V226" s="29">
        <f t="shared" si="30"/>
        <v>0</v>
      </c>
      <c r="W226" s="29">
        <f t="shared" si="31"/>
        <v>0</v>
      </c>
      <c r="X226" s="61">
        <f t="shared" si="32"/>
        <v>0</v>
      </c>
      <c r="Y226" s="61"/>
      <c r="Z226" s="61"/>
      <c r="AA226" s="61"/>
      <c r="AB226" s="61"/>
      <c r="AC226" s="61"/>
      <c r="AD226" s="61"/>
      <c r="AE226" s="49">
        <f t="shared" si="33"/>
        <v>0</v>
      </c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49">
        <f t="shared" si="34"/>
        <v>0</v>
      </c>
    </row>
    <row r="227" spans="1:57" ht="15" hidden="1" customHeight="1" x14ac:dyDescent="0.2">
      <c r="A227" s="36">
        <v>216</v>
      </c>
      <c r="B227" s="59"/>
      <c r="C227" s="38"/>
      <c r="D227" s="38" t="e">
        <f>VLOOKUP(C227,Planilha1!$J$2:$L$206,3,)</f>
        <v>#N/A</v>
      </c>
      <c r="E227" s="39"/>
      <c r="F227" s="40"/>
      <c r="G227" s="49"/>
      <c r="H227" s="60">
        <f t="shared" si="27"/>
        <v>0</v>
      </c>
      <c r="I227" s="49">
        <f t="shared" si="28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49">
        <f t="shared" si="29"/>
        <v>0</v>
      </c>
      <c r="V227" s="29">
        <f t="shared" si="30"/>
        <v>0</v>
      </c>
      <c r="W227" s="29">
        <f t="shared" si="31"/>
        <v>0</v>
      </c>
      <c r="X227" s="61">
        <f t="shared" si="32"/>
        <v>0</v>
      </c>
      <c r="Y227" s="61"/>
      <c r="Z227" s="61"/>
      <c r="AA227" s="61"/>
      <c r="AB227" s="61"/>
      <c r="AC227" s="61"/>
      <c r="AD227" s="61"/>
      <c r="AE227" s="49">
        <f t="shared" si="33"/>
        <v>0</v>
      </c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49">
        <f t="shared" si="34"/>
        <v>0</v>
      </c>
    </row>
    <row r="228" spans="1:57" ht="15" hidden="1" customHeight="1" x14ac:dyDescent="0.2">
      <c r="A228" s="36">
        <v>217</v>
      </c>
      <c r="B228" s="59"/>
      <c r="C228" s="38"/>
      <c r="D228" s="38" t="e">
        <f>VLOOKUP(C228,Planilha1!$J$2:$L$206,3,)</f>
        <v>#N/A</v>
      </c>
      <c r="E228" s="39"/>
      <c r="F228" s="40"/>
      <c r="G228" s="49"/>
      <c r="H228" s="60">
        <f t="shared" si="27"/>
        <v>0</v>
      </c>
      <c r="I228" s="49">
        <f t="shared" si="28"/>
        <v>0</v>
      </c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49">
        <f t="shared" si="29"/>
        <v>0</v>
      </c>
      <c r="V228" s="29">
        <f t="shared" si="30"/>
        <v>0</v>
      </c>
      <c r="W228" s="29">
        <f t="shared" si="31"/>
        <v>0</v>
      </c>
      <c r="X228" s="61">
        <f t="shared" si="32"/>
        <v>0</v>
      </c>
      <c r="Y228" s="61"/>
      <c r="Z228" s="61"/>
      <c r="AA228" s="61"/>
      <c r="AB228" s="61"/>
      <c r="AC228" s="61"/>
      <c r="AD228" s="61"/>
      <c r="AE228" s="49">
        <f t="shared" si="33"/>
        <v>0</v>
      </c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49">
        <f t="shared" si="34"/>
        <v>0</v>
      </c>
    </row>
    <row r="229" spans="1:57" ht="15" hidden="1" customHeight="1" x14ac:dyDescent="0.2">
      <c r="A229" s="36">
        <v>218</v>
      </c>
      <c r="B229" s="59"/>
      <c r="C229" s="38"/>
      <c r="D229" s="38" t="e">
        <f>VLOOKUP(C229,Planilha1!$J$2:$L$206,3,)</f>
        <v>#N/A</v>
      </c>
      <c r="E229" s="39"/>
      <c r="F229" s="40"/>
      <c r="G229" s="49"/>
      <c r="H229" s="60">
        <f t="shared" si="27"/>
        <v>0</v>
      </c>
      <c r="I229" s="49">
        <f t="shared" si="28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49">
        <f t="shared" si="29"/>
        <v>0</v>
      </c>
      <c r="V229" s="29">
        <f t="shared" si="30"/>
        <v>0</v>
      </c>
      <c r="W229" s="29">
        <f t="shared" si="31"/>
        <v>0</v>
      </c>
      <c r="X229" s="61">
        <f t="shared" si="32"/>
        <v>0</v>
      </c>
      <c r="Y229" s="61"/>
      <c r="Z229" s="61"/>
      <c r="AA229" s="61"/>
      <c r="AB229" s="61"/>
      <c r="AC229" s="61"/>
      <c r="AD229" s="61"/>
      <c r="AE229" s="49">
        <f t="shared" si="33"/>
        <v>0</v>
      </c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49">
        <f t="shared" si="34"/>
        <v>0</v>
      </c>
    </row>
    <row r="230" spans="1:57" ht="15" hidden="1" customHeight="1" x14ac:dyDescent="0.2">
      <c r="A230" s="36">
        <v>219</v>
      </c>
      <c r="B230" s="59"/>
      <c r="C230" s="38"/>
      <c r="D230" s="38" t="e">
        <f>VLOOKUP(C230,Planilha1!$J$2:$L$206,3,)</f>
        <v>#N/A</v>
      </c>
      <c r="E230" s="39"/>
      <c r="F230" s="40"/>
      <c r="G230" s="49"/>
      <c r="H230" s="60">
        <f t="shared" si="27"/>
        <v>0</v>
      </c>
      <c r="I230" s="49">
        <f t="shared" si="28"/>
        <v>0</v>
      </c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49">
        <f t="shared" si="29"/>
        <v>0</v>
      </c>
      <c r="V230" s="29">
        <f t="shared" si="30"/>
        <v>0</v>
      </c>
      <c r="W230" s="29">
        <f t="shared" si="31"/>
        <v>0</v>
      </c>
      <c r="X230" s="61">
        <f t="shared" si="32"/>
        <v>0</v>
      </c>
      <c r="Y230" s="61"/>
      <c r="Z230" s="61"/>
      <c r="AA230" s="61"/>
      <c r="AB230" s="61"/>
      <c r="AC230" s="61"/>
      <c r="AD230" s="61"/>
      <c r="AE230" s="49">
        <f t="shared" si="33"/>
        <v>0</v>
      </c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49">
        <f t="shared" si="34"/>
        <v>0</v>
      </c>
    </row>
    <row r="231" spans="1:57" ht="15" hidden="1" customHeight="1" x14ac:dyDescent="0.2">
      <c r="A231" s="36">
        <v>220</v>
      </c>
      <c r="B231" s="59"/>
      <c r="C231" s="38"/>
      <c r="D231" s="38" t="e">
        <f>VLOOKUP(C231,Planilha1!$J$2:$L$206,3,)</f>
        <v>#N/A</v>
      </c>
      <c r="E231" s="39"/>
      <c r="F231" s="40"/>
      <c r="G231" s="49"/>
      <c r="H231" s="60">
        <f t="shared" si="27"/>
        <v>0</v>
      </c>
      <c r="I231" s="49">
        <f t="shared" si="28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49">
        <f t="shared" si="29"/>
        <v>0</v>
      </c>
      <c r="V231" s="29">
        <f t="shared" si="30"/>
        <v>0</v>
      </c>
      <c r="W231" s="29">
        <f t="shared" si="31"/>
        <v>0</v>
      </c>
      <c r="X231" s="61">
        <f t="shared" si="32"/>
        <v>0</v>
      </c>
      <c r="Y231" s="61"/>
      <c r="Z231" s="61"/>
      <c r="AA231" s="61"/>
      <c r="AB231" s="61"/>
      <c r="AC231" s="61"/>
      <c r="AD231" s="61"/>
      <c r="AE231" s="49">
        <f t="shared" si="33"/>
        <v>0</v>
      </c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49">
        <f t="shared" si="34"/>
        <v>0</v>
      </c>
    </row>
    <row r="232" spans="1:57" ht="15" hidden="1" customHeight="1" x14ac:dyDescent="0.2">
      <c r="A232" s="36">
        <v>221</v>
      </c>
      <c r="B232" s="59"/>
      <c r="C232" s="38"/>
      <c r="D232" s="38" t="e">
        <f>VLOOKUP(C232,Planilha1!$J$2:$L$206,3,)</f>
        <v>#N/A</v>
      </c>
      <c r="E232" s="39"/>
      <c r="F232" s="40"/>
      <c r="G232" s="49"/>
      <c r="H232" s="60">
        <f t="shared" ref="H232:H295" si="35">I232+U232</f>
        <v>0</v>
      </c>
      <c r="I232" s="49">
        <f t="shared" ref="I232:I295" si="36">SUM(J232:T232)</f>
        <v>0</v>
      </c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49">
        <f t="shared" ref="U232:U295" si="37">X232+AE232</f>
        <v>0</v>
      </c>
      <c r="V232" s="29">
        <f t="shared" ref="V232:V295" si="38">IF(H232,U232/H232,0)</f>
        <v>0</v>
      </c>
      <c r="W232" s="29">
        <f t="shared" ref="W232:W295" si="39">IF(H232,I232/H232,0)</f>
        <v>0</v>
      </c>
      <c r="X232" s="61">
        <f t="shared" ref="X232:X295" si="40">SUM(Y232:AD232)</f>
        <v>0</v>
      </c>
      <c r="Y232" s="61"/>
      <c r="Z232" s="61"/>
      <c r="AA232" s="61"/>
      <c r="AB232" s="61"/>
      <c r="AC232" s="61"/>
      <c r="AD232" s="61"/>
      <c r="AE232" s="49">
        <f t="shared" ref="AE232:AE295" si="41">SUM(AF232:BD232)</f>
        <v>0</v>
      </c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49">
        <f t="shared" ref="BE232:BE295" si="42">I232+AE232</f>
        <v>0</v>
      </c>
    </row>
    <row r="233" spans="1:57" ht="15" hidden="1" customHeight="1" x14ac:dyDescent="0.2">
      <c r="A233" s="36">
        <v>222</v>
      </c>
      <c r="B233" s="59"/>
      <c r="C233" s="38"/>
      <c r="D233" s="38" t="e">
        <f>VLOOKUP(C233,Planilha1!$J$2:$L$206,3,)</f>
        <v>#N/A</v>
      </c>
      <c r="E233" s="39"/>
      <c r="F233" s="40"/>
      <c r="G233" s="49"/>
      <c r="H233" s="60">
        <f t="shared" si="35"/>
        <v>0</v>
      </c>
      <c r="I233" s="49">
        <f t="shared" si="36"/>
        <v>0</v>
      </c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49">
        <f t="shared" si="37"/>
        <v>0</v>
      </c>
      <c r="V233" s="29">
        <f t="shared" si="38"/>
        <v>0</v>
      </c>
      <c r="W233" s="29">
        <f t="shared" si="39"/>
        <v>0</v>
      </c>
      <c r="X233" s="61">
        <f t="shared" si="40"/>
        <v>0</v>
      </c>
      <c r="Y233" s="61"/>
      <c r="Z233" s="61"/>
      <c r="AA233" s="61"/>
      <c r="AB233" s="61"/>
      <c r="AC233" s="61"/>
      <c r="AD233" s="61"/>
      <c r="AE233" s="49">
        <f t="shared" si="41"/>
        <v>0</v>
      </c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49">
        <f t="shared" si="42"/>
        <v>0</v>
      </c>
    </row>
    <row r="234" spans="1:57" ht="15" hidden="1" customHeight="1" x14ac:dyDescent="0.2">
      <c r="A234" s="36">
        <v>223</v>
      </c>
      <c r="B234" s="59"/>
      <c r="C234" s="38"/>
      <c r="D234" s="38" t="e">
        <f>VLOOKUP(C234,Planilha1!$J$2:$L$206,3,)</f>
        <v>#N/A</v>
      </c>
      <c r="E234" s="39"/>
      <c r="F234" s="40"/>
      <c r="G234" s="49"/>
      <c r="H234" s="60">
        <f t="shared" si="35"/>
        <v>0</v>
      </c>
      <c r="I234" s="49">
        <f t="shared" si="36"/>
        <v>0</v>
      </c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49">
        <f t="shared" si="37"/>
        <v>0</v>
      </c>
      <c r="V234" s="29">
        <f t="shared" si="38"/>
        <v>0</v>
      </c>
      <c r="W234" s="29">
        <f t="shared" si="39"/>
        <v>0</v>
      </c>
      <c r="X234" s="61">
        <f t="shared" si="40"/>
        <v>0</v>
      </c>
      <c r="Y234" s="61"/>
      <c r="Z234" s="61"/>
      <c r="AA234" s="61"/>
      <c r="AB234" s="61"/>
      <c r="AC234" s="61"/>
      <c r="AD234" s="61"/>
      <c r="AE234" s="49">
        <f t="shared" si="41"/>
        <v>0</v>
      </c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49">
        <f t="shared" si="42"/>
        <v>0</v>
      </c>
    </row>
    <row r="235" spans="1:57" ht="15" hidden="1" customHeight="1" x14ac:dyDescent="0.2">
      <c r="A235" s="36">
        <v>224</v>
      </c>
      <c r="B235" s="59"/>
      <c r="C235" s="38"/>
      <c r="D235" s="38" t="e">
        <f>VLOOKUP(C235,Planilha1!$J$2:$L$206,3,)</f>
        <v>#N/A</v>
      </c>
      <c r="E235" s="39"/>
      <c r="F235" s="40"/>
      <c r="G235" s="49"/>
      <c r="H235" s="60">
        <f t="shared" si="35"/>
        <v>0</v>
      </c>
      <c r="I235" s="49">
        <f t="shared" si="36"/>
        <v>0</v>
      </c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49">
        <f t="shared" si="37"/>
        <v>0</v>
      </c>
      <c r="V235" s="29">
        <f t="shared" si="38"/>
        <v>0</v>
      </c>
      <c r="W235" s="29">
        <f t="shared" si="39"/>
        <v>0</v>
      </c>
      <c r="X235" s="61">
        <f t="shared" si="40"/>
        <v>0</v>
      </c>
      <c r="Y235" s="61"/>
      <c r="Z235" s="61"/>
      <c r="AA235" s="61"/>
      <c r="AB235" s="61"/>
      <c r="AC235" s="61"/>
      <c r="AD235" s="61"/>
      <c r="AE235" s="49">
        <f t="shared" si="41"/>
        <v>0</v>
      </c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49">
        <f t="shared" si="42"/>
        <v>0</v>
      </c>
    </row>
    <row r="236" spans="1:57" ht="15" hidden="1" customHeight="1" x14ac:dyDescent="0.2">
      <c r="A236" s="36">
        <v>225</v>
      </c>
      <c r="B236" s="59"/>
      <c r="C236" s="38"/>
      <c r="D236" s="38" t="e">
        <f>VLOOKUP(C236,Planilha1!$J$2:$L$206,3,)</f>
        <v>#N/A</v>
      </c>
      <c r="E236" s="39"/>
      <c r="F236" s="40"/>
      <c r="G236" s="49"/>
      <c r="H236" s="60">
        <f t="shared" si="35"/>
        <v>0</v>
      </c>
      <c r="I236" s="49">
        <f t="shared" si="36"/>
        <v>0</v>
      </c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49">
        <f t="shared" si="37"/>
        <v>0</v>
      </c>
      <c r="V236" s="29">
        <f t="shared" si="38"/>
        <v>0</v>
      </c>
      <c r="W236" s="29">
        <f t="shared" si="39"/>
        <v>0</v>
      </c>
      <c r="X236" s="61">
        <f t="shared" si="40"/>
        <v>0</v>
      </c>
      <c r="Y236" s="61"/>
      <c r="Z236" s="61"/>
      <c r="AA236" s="61"/>
      <c r="AB236" s="61"/>
      <c r="AC236" s="61"/>
      <c r="AD236" s="61"/>
      <c r="AE236" s="49">
        <f t="shared" si="41"/>
        <v>0</v>
      </c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49">
        <f t="shared" si="42"/>
        <v>0</v>
      </c>
    </row>
    <row r="237" spans="1:57" ht="15" hidden="1" customHeight="1" x14ac:dyDescent="0.2">
      <c r="A237" s="36">
        <v>226</v>
      </c>
      <c r="B237" s="59"/>
      <c r="C237" s="38"/>
      <c r="D237" s="38" t="e">
        <f>VLOOKUP(C237,Planilha1!$J$2:$L$206,3,)</f>
        <v>#N/A</v>
      </c>
      <c r="E237" s="39"/>
      <c r="F237" s="40"/>
      <c r="G237" s="49"/>
      <c r="H237" s="60">
        <f t="shared" si="35"/>
        <v>0</v>
      </c>
      <c r="I237" s="49">
        <f t="shared" si="36"/>
        <v>0</v>
      </c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49">
        <f t="shared" si="37"/>
        <v>0</v>
      </c>
      <c r="V237" s="29">
        <f t="shared" si="38"/>
        <v>0</v>
      </c>
      <c r="W237" s="29">
        <f t="shared" si="39"/>
        <v>0</v>
      </c>
      <c r="X237" s="61">
        <f t="shared" si="40"/>
        <v>0</v>
      </c>
      <c r="Y237" s="61"/>
      <c r="Z237" s="61"/>
      <c r="AA237" s="61"/>
      <c r="AB237" s="61"/>
      <c r="AC237" s="61"/>
      <c r="AD237" s="61"/>
      <c r="AE237" s="49">
        <f t="shared" si="41"/>
        <v>0</v>
      </c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49">
        <f t="shared" si="42"/>
        <v>0</v>
      </c>
    </row>
    <row r="238" spans="1:57" ht="15" hidden="1" customHeight="1" x14ac:dyDescent="0.2">
      <c r="A238" s="36">
        <v>227</v>
      </c>
      <c r="B238" s="59"/>
      <c r="C238" s="38"/>
      <c r="D238" s="38" t="e">
        <f>VLOOKUP(C238,Planilha1!$J$2:$L$206,3,)</f>
        <v>#N/A</v>
      </c>
      <c r="E238" s="39"/>
      <c r="F238" s="40"/>
      <c r="G238" s="49"/>
      <c r="H238" s="60">
        <f t="shared" si="35"/>
        <v>0</v>
      </c>
      <c r="I238" s="49">
        <f t="shared" si="36"/>
        <v>0</v>
      </c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49">
        <f t="shared" si="37"/>
        <v>0</v>
      </c>
      <c r="V238" s="29">
        <f t="shared" si="38"/>
        <v>0</v>
      </c>
      <c r="W238" s="29">
        <f t="shared" si="39"/>
        <v>0</v>
      </c>
      <c r="X238" s="61">
        <f t="shared" si="40"/>
        <v>0</v>
      </c>
      <c r="Y238" s="61"/>
      <c r="Z238" s="61"/>
      <c r="AA238" s="61"/>
      <c r="AB238" s="61"/>
      <c r="AC238" s="61"/>
      <c r="AD238" s="61"/>
      <c r="AE238" s="49">
        <f t="shared" si="41"/>
        <v>0</v>
      </c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49">
        <f t="shared" si="42"/>
        <v>0</v>
      </c>
    </row>
    <row r="239" spans="1:57" ht="15" hidden="1" customHeight="1" x14ac:dyDescent="0.2">
      <c r="A239" s="36">
        <v>228</v>
      </c>
      <c r="B239" s="59"/>
      <c r="C239" s="38"/>
      <c r="D239" s="38" t="e">
        <f>VLOOKUP(C239,Planilha1!$J$2:$L$206,3,)</f>
        <v>#N/A</v>
      </c>
      <c r="E239" s="39"/>
      <c r="F239" s="40"/>
      <c r="G239" s="49"/>
      <c r="H239" s="60">
        <f t="shared" si="35"/>
        <v>0</v>
      </c>
      <c r="I239" s="49">
        <f t="shared" si="36"/>
        <v>0</v>
      </c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49">
        <f t="shared" si="37"/>
        <v>0</v>
      </c>
      <c r="V239" s="29">
        <f t="shared" si="38"/>
        <v>0</v>
      </c>
      <c r="W239" s="29">
        <f t="shared" si="39"/>
        <v>0</v>
      </c>
      <c r="X239" s="61">
        <f t="shared" si="40"/>
        <v>0</v>
      </c>
      <c r="Y239" s="61"/>
      <c r="Z239" s="61"/>
      <c r="AA239" s="61"/>
      <c r="AB239" s="61"/>
      <c r="AC239" s="61"/>
      <c r="AD239" s="61"/>
      <c r="AE239" s="49">
        <f t="shared" si="41"/>
        <v>0</v>
      </c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49">
        <f t="shared" si="42"/>
        <v>0</v>
      </c>
    </row>
    <row r="240" spans="1:57" ht="15" hidden="1" customHeight="1" x14ac:dyDescent="0.2">
      <c r="A240" s="36">
        <v>229</v>
      </c>
      <c r="B240" s="59"/>
      <c r="C240" s="38"/>
      <c r="D240" s="38" t="e">
        <f>VLOOKUP(C240,Planilha1!$J$2:$L$206,3,)</f>
        <v>#N/A</v>
      </c>
      <c r="E240" s="39"/>
      <c r="F240" s="40"/>
      <c r="G240" s="49"/>
      <c r="H240" s="60">
        <f t="shared" si="35"/>
        <v>0</v>
      </c>
      <c r="I240" s="49">
        <f t="shared" si="36"/>
        <v>0</v>
      </c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49">
        <f t="shared" si="37"/>
        <v>0</v>
      </c>
      <c r="V240" s="29">
        <f t="shared" si="38"/>
        <v>0</v>
      </c>
      <c r="W240" s="29">
        <f t="shared" si="39"/>
        <v>0</v>
      </c>
      <c r="X240" s="61">
        <f t="shared" si="40"/>
        <v>0</v>
      </c>
      <c r="Y240" s="61"/>
      <c r="Z240" s="61"/>
      <c r="AA240" s="61"/>
      <c r="AB240" s="61"/>
      <c r="AC240" s="61"/>
      <c r="AD240" s="61"/>
      <c r="AE240" s="49">
        <f t="shared" si="41"/>
        <v>0</v>
      </c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49">
        <f t="shared" si="42"/>
        <v>0</v>
      </c>
    </row>
    <row r="241" spans="1:57" ht="15" hidden="1" customHeight="1" x14ac:dyDescent="0.2">
      <c r="A241" s="36">
        <v>230</v>
      </c>
      <c r="B241" s="59"/>
      <c r="C241" s="38"/>
      <c r="D241" s="38" t="e">
        <f>VLOOKUP(C241,Planilha1!$J$2:$L$206,3,)</f>
        <v>#N/A</v>
      </c>
      <c r="E241" s="39"/>
      <c r="F241" s="40"/>
      <c r="G241" s="49"/>
      <c r="H241" s="60">
        <f t="shared" si="35"/>
        <v>0</v>
      </c>
      <c r="I241" s="49">
        <f t="shared" si="36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49">
        <f t="shared" si="37"/>
        <v>0</v>
      </c>
      <c r="V241" s="29">
        <f t="shared" si="38"/>
        <v>0</v>
      </c>
      <c r="W241" s="29">
        <f t="shared" si="39"/>
        <v>0</v>
      </c>
      <c r="X241" s="61">
        <f t="shared" si="40"/>
        <v>0</v>
      </c>
      <c r="Y241" s="61"/>
      <c r="Z241" s="61"/>
      <c r="AA241" s="61"/>
      <c r="AB241" s="61"/>
      <c r="AC241" s="61"/>
      <c r="AD241" s="61"/>
      <c r="AE241" s="49">
        <f t="shared" si="41"/>
        <v>0</v>
      </c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49">
        <f t="shared" si="42"/>
        <v>0</v>
      </c>
    </row>
    <row r="242" spans="1:57" ht="15" hidden="1" customHeight="1" x14ac:dyDescent="0.2">
      <c r="A242" s="36">
        <v>231</v>
      </c>
      <c r="B242" s="59"/>
      <c r="C242" s="38"/>
      <c r="D242" s="38" t="e">
        <f>VLOOKUP(C242,Planilha1!$J$2:$L$206,3,)</f>
        <v>#N/A</v>
      </c>
      <c r="E242" s="39"/>
      <c r="F242" s="40"/>
      <c r="G242" s="49"/>
      <c r="H242" s="60">
        <f t="shared" si="35"/>
        <v>0</v>
      </c>
      <c r="I242" s="49">
        <f t="shared" si="36"/>
        <v>0</v>
      </c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49">
        <f t="shared" si="37"/>
        <v>0</v>
      </c>
      <c r="V242" s="29">
        <f t="shared" si="38"/>
        <v>0</v>
      </c>
      <c r="W242" s="29">
        <f t="shared" si="39"/>
        <v>0</v>
      </c>
      <c r="X242" s="61">
        <f t="shared" si="40"/>
        <v>0</v>
      </c>
      <c r="Y242" s="61"/>
      <c r="Z242" s="61"/>
      <c r="AA242" s="61"/>
      <c r="AB242" s="61"/>
      <c r="AC242" s="61"/>
      <c r="AD242" s="61"/>
      <c r="AE242" s="49">
        <f t="shared" si="41"/>
        <v>0</v>
      </c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49">
        <f t="shared" si="42"/>
        <v>0</v>
      </c>
    </row>
    <row r="243" spans="1:57" ht="15" hidden="1" customHeight="1" x14ac:dyDescent="0.2">
      <c r="A243" s="36">
        <v>232</v>
      </c>
      <c r="B243" s="59"/>
      <c r="C243" s="38"/>
      <c r="D243" s="38" t="e">
        <f>VLOOKUP(C243,Planilha1!$J$2:$L$206,3,)</f>
        <v>#N/A</v>
      </c>
      <c r="E243" s="39"/>
      <c r="F243" s="40"/>
      <c r="G243" s="49"/>
      <c r="H243" s="60">
        <f t="shared" si="35"/>
        <v>0</v>
      </c>
      <c r="I243" s="49">
        <f t="shared" si="36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49">
        <f t="shared" si="37"/>
        <v>0</v>
      </c>
      <c r="V243" s="29">
        <f t="shared" si="38"/>
        <v>0</v>
      </c>
      <c r="W243" s="29">
        <f t="shared" si="39"/>
        <v>0</v>
      </c>
      <c r="X243" s="61">
        <f t="shared" si="40"/>
        <v>0</v>
      </c>
      <c r="Y243" s="61"/>
      <c r="Z243" s="61"/>
      <c r="AA243" s="61"/>
      <c r="AB243" s="61"/>
      <c r="AC243" s="61"/>
      <c r="AD243" s="61"/>
      <c r="AE243" s="49">
        <f t="shared" si="41"/>
        <v>0</v>
      </c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49">
        <f t="shared" si="42"/>
        <v>0</v>
      </c>
    </row>
    <row r="244" spans="1:57" ht="15" hidden="1" customHeight="1" x14ac:dyDescent="0.2">
      <c r="A244" s="36">
        <v>233</v>
      </c>
      <c r="B244" s="59"/>
      <c r="C244" s="38"/>
      <c r="D244" s="38" t="e">
        <f>VLOOKUP(C244,Planilha1!$J$2:$L$206,3,)</f>
        <v>#N/A</v>
      </c>
      <c r="E244" s="39"/>
      <c r="F244" s="40"/>
      <c r="G244" s="49"/>
      <c r="H244" s="60">
        <f t="shared" si="35"/>
        <v>0</v>
      </c>
      <c r="I244" s="49">
        <f t="shared" si="36"/>
        <v>0</v>
      </c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49">
        <f t="shared" si="37"/>
        <v>0</v>
      </c>
      <c r="V244" s="29">
        <f t="shared" si="38"/>
        <v>0</v>
      </c>
      <c r="W244" s="29">
        <f t="shared" si="39"/>
        <v>0</v>
      </c>
      <c r="X244" s="61">
        <f t="shared" si="40"/>
        <v>0</v>
      </c>
      <c r="Y244" s="61"/>
      <c r="Z244" s="61"/>
      <c r="AA244" s="61"/>
      <c r="AB244" s="61"/>
      <c r="AC244" s="61"/>
      <c r="AD244" s="61"/>
      <c r="AE244" s="49">
        <f t="shared" si="41"/>
        <v>0</v>
      </c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49">
        <f t="shared" si="42"/>
        <v>0</v>
      </c>
    </row>
    <row r="245" spans="1:57" ht="15" hidden="1" customHeight="1" x14ac:dyDescent="0.2">
      <c r="A245" s="36">
        <v>234</v>
      </c>
      <c r="B245" s="59"/>
      <c r="C245" s="38"/>
      <c r="D245" s="38" t="e">
        <f>VLOOKUP(C245,Planilha1!$J$2:$L$206,3,)</f>
        <v>#N/A</v>
      </c>
      <c r="E245" s="39"/>
      <c r="F245" s="40"/>
      <c r="G245" s="49"/>
      <c r="H245" s="60">
        <f t="shared" si="35"/>
        <v>0</v>
      </c>
      <c r="I245" s="49">
        <f t="shared" si="36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49">
        <f t="shared" si="37"/>
        <v>0</v>
      </c>
      <c r="V245" s="29">
        <f t="shared" si="38"/>
        <v>0</v>
      </c>
      <c r="W245" s="29">
        <f t="shared" si="39"/>
        <v>0</v>
      </c>
      <c r="X245" s="61">
        <f t="shared" si="40"/>
        <v>0</v>
      </c>
      <c r="Y245" s="61"/>
      <c r="Z245" s="61"/>
      <c r="AA245" s="61"/>
      <c r="AB245" s="61"/>
      <c r="AC245" s="61"/>
      <c r="AD245" s="61"/>
      <c r="AE245" s="49">
        <f t="shared" si="41"/>
        <v>0</v>
      </c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49">
        <f t="shared" si="42"/>
        <v>0</v>
      </c>
    </row>
    <row r="246" spans="1:57" ht="15" hidden="1" customHeight="1" x14ac:dyDescent="0.2">
      <c r="A246" s="36">
        <v>235</v>
      </c>
      <c r="B246" s="59"/>
      <c r="C246" s="38"/>
      <c r="D246" s="38" t="e">
        <f>VLOOKUP(C246,Planilha1!$J$2:$L$206,3,)</f>
        <v>#N/A</v>
      </c>
      <c r="E246" s="39"/>
      <c r="F246" s="40"/>
      <c r="G246" s="49"/>
      <c r="H246" s="60">
        <f t="shared" si="35"/>
        <v>0</v>
      </c>
      <c r="I246" s="49">
        <f t="shared" si="36"/>
        <v>0</v>
      </c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49">
        <f t="shared" si="37"/>
        <v>0</v>
      </c>
      <c r="V246" s="29">
        <f t="shared" si="38"/>
        <v>0</v>
      </c>
      <c r="W246" s="29">
        <f t="shared" si="39"/>
        <v>0</v>
      </c>
      <c r="X246" s="61">
        <f t="shared" si="40"/>
        <v>0</v>
      </c>
      <c r="Y246" s="61"/>
      <c r="Z246" s="61"/>
      <c r="AA246" s="61"/>
      <c r="AB246" s="61"/>
      <c r="AC246" s="61"/>
      <c r="AD246" s="61"/>
      <c r="AE246" s="49">
        <f t="shared" si="41"/>
        <v>0</v>
      </c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49">
        <f t="shared" si="42"/>
        <v>0</v>
      </c>
    </row>
    <row r="247" spans="1:57" ht="15" hidden="1" customHeight="1" x14ac:dyDescent="0.2">
      <c r="A247" s="36">
        <v>236</v>
      </c>
      <c r="B247" s="59"/>
      <c r="C247" s="38"/>
      <c r="D247" s="38" t="e">
        <f>VLOOKUP(C247,Planilha1!$J$2:$L$206,3,)</f>
        <v>#N/A</v>
      </c>
      <c r="E247" s="39"/>
      <c r="F247" s="40"/>
      <c r="G247" s="49"/>
      <c r="H247" s="60">
        <f t="shared" si="35"/>
        <v>0</v>
      </c>
      <c r="I247" s="49">
        <f t="shared" si="36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49">
        <f t="shared" si="37"/>
        <v>0</v>
      </c>
      <c r="V247" s="29">
        <f t="shared" si="38"/>
        <v>0</v>
      </c>
      <c r="W247" s="29">
        <f t="shared" si="39"/>
        <v>0</v>
      </c>
      <c r="X247" s="61">
        <f t="shared" si="40"/>
        <v>0</v>
      </c>
      <c r="Y247" s="61"/>
      <c r="Z247" s="61"/>
      <c r="AA247" s="61"/>
      <c r="AB247" s="61"/>
      <c r="AC247" s="61"/>
      <c r="AD247" s="61"/>
      <c r="AE247" s="49">
        <f t="shared" si="41"/>
        <v>0</v>
      </c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49">
        <f t="shared" si="42"/>
        <v>0</v>
      </c>
    </row>
    <row r="248" spans="1:57" ht="15" hidden="1" customHeight="1" x14ac:dyDescent="0.2">
      <c r="A248" s="36">
        <v>237</v>
      </c>
      <c r="B248" s="59"/>
      <c r="C248" s="38"/>
      <c r="D248" s="38" t="e">
        <f>VLOOKUP(C248,Planilha1!$J$2:$L$206,3,)</f>
        <v>#N/A</v>
      </c>
      <c r="E248" s="39"/>
      <c r="F248" s="40"/>
      <c r="G248" s="49"/>
      <c r="H248" s="60">
        <f t="shared" si="35"/>
        <v>0</v>
      </c>
      <c r="I248" s="49">
        <f t="shared" si="36"/>
        <v>0</v>
      </c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49">
        <f t="shared" si="37"/>
        <v>0</v>
      </c>
      <c r="V248" s="29">
        <f t="shared" si="38"/>
        <v>0</v>
      </c>
      <c r="W248" s="29">
        <f t="shared" si="39"/>
        <v>0</v>
      </c>
      <c r="X248" s="61">
        <f t="shared" si="40"/>
        <v>0</v>
      </c>
      <c r="Y248" s="61"/>
      <c r="Z248" s="61"/>
      <c r="AA248" s="61"/>
      <c r="AB248" s="61"/>
      <c r="AC248" s="61"/>
      <c r="AD248" s="61"/>
      <c r="AE248" s="49">
        <f t="shared" si="41"/>
        <v>0</v>
      </c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49">
        <f t="shared" si="42"/>
        <v>0</v>
      </c>
    </row>
    <row r="249" spans="1:57" ht="15" hidden="1" customHeight="1" x14ac:dyDescent="0.2">
      <c r="A249" s="36">
        <v>238</v>
      </c>
      <c r="B249" s="59"/>
      <c r="C249" s="38"/>
      <c r="D249" s="38" t="e">
        <f>VLOOKUP(C249,Planilha1!$J$2:$L$206,3,)</f>
        <v>#N/A</v>
      </c>
      <c r="E249" s="39"/>
      <c r="F249" s="40"/>
      <c r="G249" s="49"/>
      <c r="H249" s="60">
        <f t="shared" si="35"/>
        <v>0</v>
      </c>
      <c r="I249" s="49">
        <f t="shared" si="36"/>
        <v>0</v>
      </c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49">
        <f t="shared" si="37"/>
        <v>0</v>
      </c>
      <c r="V249" s="29">
        <f t="shared" si="38"/>
        <v>0</v>
      </c>
      <c r="W249" s="29">
        <f t="shared" si="39"/>
        <v>0</v>
      </c>
      <c r="X249" s="61">
        <f t="shared" si="40"/>
        <v>0</v>
      </c>
      <c r="Y249" s="61"/>
      <c r="Z249" s="61"/>
      <c r="AA249" s="61"/>
      <c r="AB249" s="61"/>
      <c r="AC249" s="61"/>
      <c r="AD249" s="61"/>
      <c r="AE249" s="49">
        <f t="shared" si="41"/>
        <v>0</v>
      </c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49">
        <f t="shared" si="42"/>
        <v>0</v>
      </c>
    </row>
    <row r="250" spans="1:57" ht="15" hidden="1" customHeight="1" x14ac:dyDescent="0.2">
      <c r="A250" s="36">
        <v>239</v>
      </c>
      <c r="B250" s="59"/>
      <c r="C250" s="38"/>
      <c r="D250" s="38" t="e">
        <f>VLOOKUP(C250,Planilha1!$J$2:$L$206,3,)</f>
        <v>#N/A</v>
      </c>
      <c r="E250" s="39"/>
      <c r="F250" s="40"/>
      <c r="G250" s="49"/>
      <c r="H250" s="60">
        <f t="shared" si="35"/>
        <v>0</v>
      </c>
      <c r="I250" s="49">
        <f t="shared" si="36"/>
        <v>0</v>
      </c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49">
        <f t="shared" si="37"/>
        <v>0</v>
      </c>
      <c r="V250" s="29">
        <f t="shared" si="38"/>
        <v>0</v>
      </c>
      <c r="W250" s="29">
        <f t="shared" si="39"/>
        <v>0</v>
      </c>
      <c r="X250" s="61">
        <f t="shared" si="40"/>
        <v>0</v>
      </c>
      <c r="Y250" s="61"/>
      <c r="Z250" s="61"/>
      <c r="AA250" s="61"/>
      <c r="AB250" s="61"/>
      <c r="AC250" s="61"/>
      <c r="AD250" s="61"/>
      <c r="AE250" s="49">
        <f t="shared" si="41"/>
        <v>0</v>
      </c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49">
        <f t="shared" si="42"/>
        <v>0</v>
      </c>
    </row>
    <row r="251" spans="1:57" ht="15" hidden="1" customHeight="1" x14ac:dyDescent="0.2">
      <c r="A251" s="36">
        <v>240</v>
      </c>
      <c r="B251" s="59"/>
      <c r="C251" s="38"/>
      <c r="D251" s="38" t="e">
        <f>VLOOKUP(C251,Planilha1!$J$2:$L$206,3,)</f>
        <v>#N/A</v>
      </c>
      <c r="E251" s="39"/>
      <c r="F251" s="40"/>
      <c r="G251" s="49"/>
      <c r="H251" s="60">
        <f t="shared" si="35"/>
        <v>0</v>
      </c>
      <c r="I251" s="49">
        <f t="shared" si="36"/>
        <v>0</v>
      </c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49">
        <f t="shared" si="37"/>
        <v>0</v>
      </c>
      <c r="V251" s="29">
        <f t="shared" si="38"/>
        <v>0</v>
      </c>
      <c r="W251" s="29">
        <f t="shared" si="39"/>
        <v>0</v>
      </c>
      <c r="X251" s="61">
        <f t="shared" si="40"/>
        <v>0</v>
      </c>
      <c r="Y251" s="61"/>
      <c r="Z251" s="61"/>
      <c r="AA251" s="61"/>
      <c r="AB251" s="61"/>
      <c r="AC251" s="61"/>
      <c r="AD251" s="61"/>
      <c r="AE251" s="49">
        <f t="shared" si="41"/>
        <v>0</v>
      </c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49">
        <f t="shared" si="42"/>
        <v>0</v>
      </c>
    </row>
    <row r="252" spans="1:57" ht="15" hidden="1" customHeight="1" x14ac:dyDescent="0.2">
      <c r="A252" s="36">
        <v>241</v>
      </c>
      <c r="B252" s="59"/>
      <c r="C252" s="38"/>
      <c r="D252" s="38" t="e">
        <f>VLOOKUP(C252,Planilha1!$J$2:$L$206,3,)</f>
        <v>#N/A</v>
      </c>
      <c r="E252" s="39"/>
      <c r="F252" s="40"/>
      <c r="G252" s="49"/>
      <c r="H252" s="60">
        <f t="shared" si="35"/>
        <v>0</v>
      </c>
      <c r="I252" s="49">
        <f t="shared" si="36"/>
        <v>0</v>
      </c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49">
        <f t="shared" si="37"/>
        <v>0</v>
      </c>
      <c r="V252" s="29">
        <f t="shared" si="38"/>
        <v>0</v>
      </c>
      <c r="W252" s="29">
        <f t="shared" si="39"/>
        <v>0</v>
      </c>
      <c r="X252" s="61">
        <f t="shared" si="40"/>
        <v>0</v>
      </c>
      <c r="Y252" s="61"/>
      <c r="Z252" s="61"/>
      <c r="AA252" s="61"/>
      <c r="AB252" s="61"/>
      <c r="AC252" s="61"/>
      <c r="AD252" s="61"/>
      <c r="AE252" s="49">
        <f t="shared" si="41"/>
        <v>0</v>
      </c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49">
        <f t="shared" si="42"/>
        <v>0</v>
      </c>
    </row>
    <row r="253" spans="1:57" ht="15" hidden="1" customHeight="1" x14ac:dyDescent="0.2">
      <c r="A253" s="36">
        <v>242</v>
      </c>
      <c r="B253" s="59"/>
      <c r="C253" s="38"/>
      <c r="D253" s="38" t="e">
        <f>VLOOKUP(C253,Planilha1!$J$2:$L$206,3,)</f>
        <v>#N/A</v>
      </c>
      <c r="E253" s="39"/>
      <c r="F253" s="40"/>
      <c r="G253" s="49"/>
      <c r="H253" s="60">
        <f t="shared" si="35"/>
        <v>0</v>
      </c>
      <c r="I253" s="49">
        <f t="shared" si="36"/>
        <v>0</v>
      </c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49">
        <f t="shared" si="37"/>
        <v>0</v>
      </c>
      <c r="V253" s="29">
        <f t="shared" si="38"/>
        <v>0</v>
      </c>
      <c r="W253" s="29">
        <f t="shared" si="39"/>
        <v>0</v>
      </c>
      <c r="X253" s="61">
        <f t="shared" si="40"/>
        <v>0</v>
      </c>
      <c r="Y253" s="61"/>
      <c r="Z253" s="61"/>
      <c r="AA253" s="61"/>
      <c r="AB253" s="61"/>
      <c r="AC253" s="61"/>
      <c r="AD253" s="61"/>
      <c r="AE253" s="49">
        <f t="shared" si="41"/>
        <v>0</v>
      </c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49">
        <f t="shared" si="42"/>
        <v>0</v>
      </c>
    </row>
    <row r="254" spans="1:57" ht="15" hidden="1" customHeight="1" x14ac:dyDescent="0.2">
      <c r="A254" s="36">
        <v>243</v>
      </c>
      <c r="B254" s="59"/>
      <c r="C254" s="38"/>
      <c r="D254" s="38" t="e">
        <f>VLOOKUP(C254,Planilha1!$J$2:$L$206,3,)</f>
        <v>#N/A</v>
      </c>
      <c r="E254" s="39"/>
      <c r="F254" s="40"/>
      <c r="G254" s="49"/>
      <c r="H254" s="60">
        <f t="shared" si="35"/>
        <v>0</v>
      </c>
      <c r="I254" s="49">
        <f t="shared" si="36"/>
        <v>0</v>
      </c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49">
        <f t="shared" si="37"/>
        <v>0</v>
      </c>
      <c r="V254" s="29">
        <f t="shared" si="38"/>
        <v>0</v>
      </c>
      <c r="W254" s="29">
        <f t="shared" si="39"/>
        <v>0</v>
      </c>
      <c r="X254" s="61">
        <f t="shared" si="40"/>
        <v>0</v>
      </c>
      <c r="Y254" s="61"/>
      <c r="Z254" s="61"/>
      <c r="AA254" s="61"/>
      <c r="AB254" s="61"/>
      <c r="AC254" s="61"/>
      <c r="AD254" s="61"/>
      <c r="AE254" s="49">
        <f t="shared" si="41"/>
        <v>0</v>
      </c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49">
        <f t="shared" si="42"/>
        <v>0</v>
      </c>
    </row>
    <row r="255" spans="1:57" ht="15" hidden="1" customHeight="1" x14ac:dyDescent="0.2">
      <c r="A255" s="36">
        <v>244</v>
      </c>
      <c r="B255" s="59"/>
      <c r="C255" s="38"/>
      <c r="D255" s="38" t="e">
        <f>VLOOKUP(C255,Planilha1!$J$2:$L$206,3,)</f>
        <v>#N/A</v>
      </c>
      <c r="E255" s="39"/>
      <c r="F255" s="40"/>
      <c r="G255" s="49"/>
      <c r="H255" s="60">
        <f t="shared" si="35"/>
        <v>0</v>
      </c>
      <c r="I255" s="49">
        <f t="shared" si="36"/>
        <v>0</v>
      </c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49">
        <f t="shared" si="37"/>
        <v>0</v>
      </c>
      <c r="V255" s="29">
        <f t="shared" si="38"/>
        <v>0</v>
      </c>
      <c r="W255" s="29">
        <f t="shared" si="39"/>
        <v>0</v>
      </c>
      <c r="X255" s="61">
        <f t="shared" si="40"/>
        <v>0</v>
      </c>
      <c r="Y255" s="61"/>
      <c r="Z255" s="61"/>
      <c r="AA255" s="61"/>
      <c r="AB255" s="61"/>
      <c r="AC255" s="61"/>
      <c r="AD255" s="61"/>
      <c r="AE255" s="49">
        <f t="shared" si="41"/>
        <v>0</v>
      </c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49">
        <f t="shared" si="42"/>
        <v>0</v>
      </c>
    </row>
    <row r="256" spans="1:57" ht="15" hidden="1" customHeight="1" x14ac:dyDescent="0.2">
      <c r="A256" s="36">
        <v>245</v>
      </c>
      <c r="B256" s="59"/>
      <c r="C256" s="38"/>
      <c r="D256" s="38" t="e">
        <f>VLOOKUP(C256,Planilha1!$J$2:$L$206,3,)</f>
        <v>#N/A</v>
      </c>
      <c r="E256" s="39"/>
      <c r="F256" s="40"/>
      <c r="G256" s="49"/>
      <c r="H256" s="60">
        <f t="shared" si="35"/>
        <v>0</v>
      </c>
      <c r="I256" s="49">
        <f t="shared" si="36"/>
        <v>0</v>
      </c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49">
        <f t="shared" si="37"/>
        <v>0</v>
      </c>
      <c r="V256" s="29">
        <f t="shared" si="38"/>
        <v>0</v>
      </c>
      <c r="W256" s="29">
        <f t="shared" si="39"/>
        <v>0</v>
      </c>
      <c r="X256" s="61">
        <f t="shared" si="40"/>
        <v>0</v>
      </c>
      <c r="Y256" s="61"/>
      <c r="Z256" s="61"/>
      <c r="AA256" s="61"/>
      <c r="AB256" s="61"/>
      <c r="AC256" s="61"/>
      <c r="AD256" s="61"/>
      <c r="AE256" s="49">
        <f t="shared" si="41"/>
        <v>0</v>
      </c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49">
        <f t="shared" si="42"/>
        <v>0</v>
      </c>
    </row>
    <row r="257" spans="1:57" ht="15" hidden="1" customHeight="1" x14ac:dyDescent="0.2">
      <c r="A257" s="36">
        <v>246</v>
      </c>
      <c r="B257" s="59"/>
      <c r="C257" s="38"/>
      <c r="D257" s="38" t="e">
        <f>VLOOKUP(C257,Planilha1!$J$2:$L$206,3,)</f>
        <v>#N/A</v>
      </c>
      <c r="E257" s="39"/>
      <c r="F257" s="40"/>
      <c r="G257" s="49"/>
      <c r="H257" s="60">
        <f t="shared" si="35"/>
        <v>0</v>
      </c>
      <c r="I257" s="49">
        <f t="shared" si="36"/>
        <v>0</v>
      </c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49">
        <f t="shared" si="37"/>
        <v>0</v>
      </c>
      <c r="V257" s="29">
        <f t="shared" si="38"/>
        <v>0</v>
      </c>
      <c r="W257" s="29">
        <f t="shared" si="39"/>
        <v>0</v>
      </c>
      <c r="X257" s="61">
        <f t="shared" si="40"/>
        <v>0</v>
      </c>
      <c r="Y257" s="61"/>
      <c r="Z257" s="61"/>
      <c r="AA257" s="61"/>
      <c r="AB257" s="61"/>
      <c r="AC257" s="61"/>
      <c r="AD257" s="61"/>
      <c r="AE257" s="49">
        <f t="shared" si="41"/>
        <v>0</v>
      </c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49">
        <f t="shared" si="42"/>
        <v>0</v>
      </c>
    </row>
    <row r="258" spans="1:57" ht="15" hidden="1" customHeight="1" x14ac:dyDescent="0.2">
      <c r="A258" s="36">
        <v>247</v>
      </c>
      <c r="B258" s="59"/>
      <c r="C258" s="38"/>
      <c r="D258" s="38" t="e">
        <f>VLOOKUP(C258,Planilha1!$J$2:$L$206,3,)</f>
        <v>#N/A</v>
      </c>
      <c r="E258" s="39"/>
      <c r="F258" s="40"/>
      <c r="G258" s="49"/>
      <c r="H258" s="60">
        <f t="shared" si="35"/>
        <v>0</v>
      </c>
      <c r="I258" s="49">
        <f t="shared" si="36"/>
        <v>0</v>
      </c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49">
        <f t="shared" si="37"/>
        <v>0</v>
      </c>
      <c r="V258" s="29">
        <f t="shared" si="38"/>
        <v>0</v>
      </c>
      <c r="W258" s="29">
        <f t="shared" si="39"/>
        <v>0</v>
      </c>
      <c r="X258" s="61">
        <f t="shared" si="40"/>
        <v>0</v>
      </c>
      <c r="Y258" s="61"/>
      <c r="Z258" s="61"/>
      <c r="AA258" s="61"/>
      <c r="AB258" s="61"/>
      <c r="AC258" s="61"/>
      <c r="AD258" s="61"/>
      <c r="AE258" s="49">
        <f t="shared" si="41"/>
        <v>0</v>
      </c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49">
        <f t="shared" si="42"/>
        <v>0</v>
      </c>
    </row>
    <row r="259" spans="1:57" ht="15" hidden="1" customHeight="1" x14ac:dyDescent="0.2">
      <c r="A259" s="36">
        <v>248</v>
      </c>
      <c r="B259" s="59"/>
      <c r="C259" s="38"/>
      <c r="D259" s="38" t="e">
        <f>VLOOKUP(C259,Planilha1!$J$2:$L$206,3,)</f>
        <v>#N/A</v>
      </c>
      <c r="E259" s="39"/>
      <c r="F259" s="40"/>
      <c r="G259" s="49"/>
      <c r="H259" s="60">
        <f t="shared" si="35"/>
        <v>0</v>
      </c>
      <c r="I259" s="49">
        <f t="shared" si="36"/>
        <v>0</v>
      </c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49">
        <f t="shared" si="37"/>
        <v>0</v>
      </c>
      <c r="V259" s="29">
        <f t="shared" si="38"/>
        <v>0</v>
      </c>
      <c r="W259" s="29">
        <f t="shared" si="39"/>
        <v>0</v>
      </c>
      <c r="X259" s="61">
        <f t="shared" si="40"/>
        <v>0</v>
      </c>
      <c r="Y259" s="61"/>
      <c r="Z259" s="61"/>
      <c r="AA259" s="61"/>
      <c r="AB259" s="61"/>
      <c r="AC259" s="61"/>
      <c r="AD259" s="61"/>
      <c r="AE259" s="49">
        <f t="shared" si="41"/>
        <v>0</v>
      </c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49">
        <f t="shared" si="42"/>
        <v>0</v>
      </c>
    </row>
    <row r="260" spans="1:57" ht="15" hidden="1" customHeight="1" x14ac:dyDescent="0.2">
      <c r="A260" s="36">
        <v>249</v>
      </c>
      <c r="B260" s="59"/>
      <c r="C260" s="38"/>
      <c r="D260" s="38" t="e">
        <f>VLOOKUP(C260,Planilha1!$J$2:$L$206,3,)</f>
        <v>#N/A</v>
      </c>
      <c r="E260" s="39"/>
      <c r="F260" s="40"/>
      <c r="G260" s="49"/>
      <c r="H260" s="60">
        <f t="shared" si="35"/>
        <v>0</v>
      </c>
      <c r="I260" s="49">
        <f t="shared" si="36"/>
        <v>0</v>
      </c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49">
        <f t="shared" si="37"/>
        <v>0</v>
      </c>
      <c r="V260" s="29">
        <f t="shared" si="38"/>
        <v>0</v>
      </c>
      <c r="W260" s="29">
        <f t="shared" si="39"/>
        <v>0</v>
      </c>
      <c r="X260" s="61">
        <f t="shared" si="40"/>
        <v>0</v>
      </c>
      <c r="Y260" s="61"/>
      <c r="Z260" s="61"/>
      <c r="AA260" s="61"/>
      <c r="AB260" s="61"/>
      <c r="AC260" s="61"/>
      <c r="AD260" s="61"/>
      <c r="AE260" s="49">
        <f t="shared" si="41"/>
        <v>0</v>
      </c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49">
        <f t="shared" si="42"/>
        <v>0</v>
      </c>
    </row>
    <row r="261" spans="1:57" ht="15" hidden="1" customHeight="1" x14ac:dyDescent="0.2">
      <c r="A261" s="36">
        <v>250</v>
      </c>
      <c r="B261" s="59"/>
      <c r="C261" s="38"/>
      <c r="D261" s="38" t="e">
        <f>VLOOKUP(C261,Planilha1!$J$2:$L$206,3,)</f>
        <v>#N/A</v>
      </c>
      <c r="E261" s="39"/>
      <c r="F261" s="40"/>
      <c r="G261" s="49"/>
      <c r="H261" s="60">
        <f t="shared" si="35"/>
        <v>0</v>
      </c>
      <c r="I261" s="49">
        <f t="shared" si="36"/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49">
        <f t="shared" si="37"/>
        <v>0</v>
      </c>
      <c r="V261" s="29">
        <f t="shared" si="38"/>
        <v>0</v>
      </c>
      <c r="W261" s="29">
        <f t="shared" si="39"/>
        <v>0</v>
      </c>
      <c r="X261" s="61">
        <f t="shared" si="40"/>
        <v>0</v>
      </c>
      <c r="Y261" s="61"/>
      <c r="Z261" s="61"/>
      <c r="AA261" s="61"/>
      <c r="AB261" s="61"/>
      <c r="AC261" s="61"/>
      <c r="AD261" s="61"/>
      <c r="AE261" s="49">
        <f t="shared" si="41"/>
        <v>0</v>
      </c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49">
        <f t="shared" si="42"/>
        <v>0</v>
      </c>
    </row>
    <row r="262" spans="1:57" ht="15" hidden="1" customHeight="1" x14ac:dyDescent="0.2">
      <c r="A262" s="36">
        <v>251</v>
      </c>
      <c r="B262" s="59"/>
      <c r="C262" s="38"/>
      <c r="D262" s="38" t="e">
        <f>VLOOKUP(C262,Planilha1!$J$2:$L$206,3,)</f>
        <v>#N/A</v>
      </c>
      <c r="E262" s="39"/>
      <c r="F262" s="40"/>
      <c r="G262" s="49"/>
      <c r="H262" s="60">
        <f t="shared" si="35"/>
        <v>0</v>
      </c>
      <c r="I262" s="49">
        <f t="shared" si="36"/>
        <v>0</v>
      </c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49">
        <f t="shared" si="37"/>
        <v>0</v>
      </c>
      <c r="V262" s="29">
        <f t="shared" si="38"/>
        <v>0</v>
      </c>
      <c r="W262" s="29">
        <f t="shared" si="39"/>
        <v>0</v>
      </c>
      <c r="X262" s="61">
        <f t="shared" si="40"/>
        <v>0</v>
      </c>
      <c r="Y262" s="61"/>
      <c r="Z262" s="61"/>
      <c r="AA262" s="61"/>
      <c r="AB262" s="61"/>
      <c r="AC262" s="61"/>
      <c r="AD262" s="61"/>
      <c r="AE262" s="49">
        <f t="shared" si="41"/>
        <v>0</v>
      </c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49">
        <f t="shared" si="42"/>
        <v>0</v>
      </c>
    </row>
    <row r="263" spans="1:57" ht="15" hidden="1" customHeight="1" x14ac:dyDescent="0.2">
      <c r="A263" s="36">
        <v>252</v>
      </c>
      <c r="B263" s="59"/>
      <c r="C263" s="38"/>
      <c r="D263" s="38" t="e">
        <f>VLOOKUP(C263,Planilha1!$J$2:$L$206,3,)</f>
        <v>#N/A</v>
      </c>
      <c r="E263" s="39"/>
      <c r="F263" s="40"/>
      <c r="G263" s="49"/>
      <c r="H263" s="60">
        <f t="shared" si="35"/>
        <v>0</v>
      </c>
      <c r="I263" s="49">
        <f t="shared" si="36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49">
        <f t="shared" si="37"/>
        <v>0</v>
      </c>
      <c r="V263" s="29">
        <f t="shared" si="38"/>
        <v>0</v>
      </c>
      <c r="W263" s="29">
        <f t="shared" si="39"/>
        <v>0</v>
      </c>
      <c r="X263" s="61">
        <f t="shared" si="40"/>
        <v>0</v>
      </c>
      <c r="Y263" s="61"/>
      <c r="Z263" s="61"/>
      <c r="AA263" s="61"/>
      <c r="AB263" s="61"/>
      <c r="AC263" s="61"/>
      <c r="AD263" s="61"/>
      <c r="AE263" s="49">
        <f t="shared" si="41"/>
        <v>0</v>
      </c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49">
        <f t="shared" si="42"/>
        <v>0</v>
      </c>
    </row>
    <row r="264" spans="1:57" ht="15" hidden="1" customHeight="1" x14ac:dyDescent="0.2">
      <c r="A264" s="36">
        <v>253</v>
      </c>
      <c r="B264" s="59"/>
      <c r="C264" s="38"/>
      <c r="D264" s="38" t="e">
        <f>VLOOKUP(C264,Planilha1!$J$2:$L$206,3,)</f>
        <v>#N/A</v>
      </c>
      <c r="E264" s="39"/>
      <c r="F264" s="40"/>
      <c r="G264" s="49"/>
      <c r="H264" s="60">
        <f t="shared" si="35"/>
        <v>0</v>
      </c>
      <c r="I264" s="49">
        <f t="shared" si="36"/>
        <v>0</v>
      </c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49">
        <f t="shared" si="37"/>
        <v>0</v>
      </c>
      <c r="V264" s="29">
        <f t="shared" si="38"/>
        <v>0</v>
      </c>
      <c r="W264" s="29">
        <f t="shared" si="39"/>
        <v>0</v>
      </c>
      <c r="X264" s="61">
        <f t="shared" si="40"/>
        <v>0</v>
      </c>
      <c r="Y264" s="61"/>
      <c r="Z264" s="61"/>
      <c r="AA264" s="61"/>
      <c r="AB264" s="61"/>
      <c r="AC264" s="61"/>
      <c r="AD264" s="61"/>
      <c r="AE264" s="49">
        <f t="shared" si="41"/>
        <v>0</v>
      </c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49">
        <f t="shared" si="42"/>
        <v>0</v>
      </c>
    </row>
    <row r="265" spans="1:57" ht="15" hidden="1" customHeight="1" x14ac:dyDescent="0.2">
      <c r="A265" s="36">
        <v>254</v>
      </c>
      <c r="B265" s="59"/>
      <c r="C265" s="38"/>
      <c r="D265" s="38" t="e">
        <f>VLOOKUP(C265,Planilha1!$J$2:$L$206,3,)</f>
        <v>#N/A</v>
      </c>
      <c r="E265" s="39"/>
      <c r="F265" s="40"/>
      <c r="G265" s="49"/>
      <c r="H265" s="60">
        <f t="shared" si="35"/>
        <v>0</v>
      </c>
      <c r="I265" s="49">
        <f t="shared" si="36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49">
        <f t="shared" si="37"/>
        <v>0</v>
      </c>
      <c r="V265" s="29">
        <f t="shared" si="38"/>
        <v>0</v>
      </c>
      <c r="W265" s="29">
        <f t="shared" si="39"/>
        <v>0</v>
      </c>
      <c r="X265" s="61">
        <f t="shared" si="40"/>
        <v>0</v>
      </c>
      <c r="Y265" s="61"/>
      <c r="Z265" s="61"/>
      <c r="AA265" s="61"/>
      <c r="AB265" s="61"/>
      <c r="AC265" s="61"/>
      <c r="AD265" s="61"/>
      <c r="AE265" s="49">
        <f t="shared" si="41"/>
        <v>0</v>
      </c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49">
        <f t="shared" si="42"/>
        <v>0</v>
      </c>
    </row>
    <row r="266" spans="1:57" ht="15" hidden="1" customHeight="1" x14ac:dyDescent="0.2">
      <c r="A266" s="36">
        <v>255</v>
      </c>
      <c r="B266" s="59"/>
      <c r="C266" s="38"/>
      <c r="D266" s="38" t="e">
        <f>VLOOKUP(C266,Planilha1!$J$2:$L$206,3,)</f>
        <v>#N/A</v>
      </c>
      <c r="E266" s="39"/>
      <c r="F266" s="40"/>
      <c r="G266" s="49"/>
      <c r="H266" s="60">
        <f t="shared" si="35"/>
        <v>0</v>
      </c>
      <c r="I266" s="49">
        <f t="shared" si="36"/>
        <v>0</v>
      </c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49">
        <f t="shared" si="37"/>
        <v>0</v>
      </c>
      <c r="V266" s="29">
        <f t="shared" si="38"/>
        <v>0</v>
      </c>
      <c r="W266" s="29">
        <f t="shared" si="39"/>
        <v>0</v>
      </c>
      <c r="X266" s="61">
        <f t="shared" si="40"/>
        <v>0</v>
      </c>
      <c r="Y266" s="61"/>
      <c r="Z266" s="61"/>
      <c r="AA266" s="61"/>
      <c r="AB266" s="61"/>
      <c r="AC266" s="61"/>
      <c r="AD266" s="61"/>
      <c r="AE266" s="49">
        <f t="shared" si="41"/>
        <v>0</v>
      </c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49">
        <f t="shared" si="42"/>
        <v>0</v>
      </c>
    </row>
    <row r="267" spans="1:57" ht="15" hidden="1" customHeight="1" x14ac:dyDescent="0.2">
      <c r="A267" s="36">
        <v>256</v>
      </c>
      <c r="B267" s="59"/>
      <c r="C267" s="38"/>
      <c r="D267" s="38" t="e">
        <f>VLOOKUP(C267,Planilha1!$J$2:$L$206,3,)</f>
        <v>#N/A</v>
      </c>
      <c r="E267" s="39"/>
      <c r="F267" s="40"/>
      <c r="G267" s="49"/>
      <c r="H267" s="60">
        <f t="shared" si="35"/>
        <v>0</v>
      </c>
      <c r="I267" s="49">
        <f t="shared" si="36"/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49">
        <f t="shared" si="37"/>
        <v>0</v>
      </c>
      <c r="V267" s="29">
        <f t="shared" si="38"/>
        <v>0</v>
      </c>
      <c r="W267" s="29">
        <f t="shared" si="39"/>
        <v>0</v>
      </c>
      <c r="X267" s="61">
        <f t="shared" si="40"/>
        <v>0</v>
      </c>
      <c r="Y267" s="61"/>
      <c r="Z267" s="61"/>
      <c r="AA267" s="61"/>
      <c r="AB267" s="61"/>
      <c r="AC267" s="61"/>
      <c r="AD267" s="61"/>
      <c r="AE267" s="49">
        <f t="shared" si="41"/>
        <v>0</v>
      </c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49">
        <f t="shared" si="42"/>
        <v>0</v>
      </c>
    </row>
    <row r="268" spans="1:57" ht="15" hidden="1" customHeight="1" x14ac:dyDescent="0.2">
      <c r="A268" s="36">
        <v>257</v>
      </c>
      <c r="B268" s="59"/>
      <c r="C268" s="38"/>
      <c r="D268" s="38" t="e">
        <f>VLOOKUP(C268,Planilha1!$J$2:$L$206,3,)</f>
        <v>#N/A</v>
      </c>
      <c r="E268" s="39"/>
      <c r="F268" s="40"/>
      <c r="G268" s="49"/>
      <c r="H268" s="60">
        <f t="shared" si="35"/>
        <v>0</v>
      </c>
      <c r="I268" s="49">
        <f t="shared" si="36"/>
        <v>0</v>
      </c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49">
        <f t="shared" si="37"/>
        <v>0</v>
      </c>
      <c r="V268" s="29">
        <f t="shared" si="38"/>
        <v>0</v>
      </c>
      <c r="W268" s="29">
        <f t="shared" si="39"/>
        <v>0</v>
      </c>
      <c r="X268" s="61">
        <f t="shared" si="40"/>
        <v>0</v>
      </c>
      <c r="Y268" s="61"/>
      <c r="Z268" s="61"/>
      <c r="AA268" s="61"/>
      <c r="AB268" s="61"/>
      <c r="AC268" s="61"/>
      <c r="AD268" s="61"/>
      <c r="AE268" s="49">
        <f t="shared" si="41"/>
        <v>0</v>
      </c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49">
        <f t="shared" si="42"/>
        <v>0</v>
      </c>
    </row>
    <row r="269" spans="1:57" ht="15" hidden="1" customHeight="1" x14ac:dyDescent="0.2">
      <c r="A269" s="36">
        <v>258</v>
      </c>
      <c r="B269" s="59"/>
      <c r="C269" s="38"/>
      <c r="D269" s="38" t="e">
        <f>VLOOKUP(C269,Planilha1!$J$2:$L$206,3,)</f>
        <v>#N/A</v>
      </c>
      <c r="E269" s="39"/>
      <c r="F269" s="40"/>
      <c r="G269" s="49"/>
      <c r="H269" s="60">
        <f t="shared" si="35"/>
        <v>0</v>
      </c>
      <c r="I269" s="49">
        <f t="shared" si="36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49">
        <f t="shared" si="37"/>
        <v>0</v>
      </c>
      <c r="V269" s="29">
        <f t="shared" si="38"/>
        <v>0</v>
      </c>
      <c r="W269" s="29">
        <f t="shared" si="39"/>
        <v>0</v>
      </c>
      <c r="X269" s="61">
        <f t="shared" si="40"/>
        <v>0</v>
      </c>
      <c r="Y269" s="61"/>
      <c r="Z269" s="61"/>
      <c r="AA269" s="61"/>
      <c r="AB269" s="61"/>
      <c r="AC269" s="61"/>
      <c r="AD269" s="61"/>
      <c r="AE269" s="49">
        <f t="shared" si="41"/>
        <v>0</v>
      </c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49">
        <f t="shared" si="42"/>
        <v>0</v>
      </c>
    </row>
    <row r="270" spans="1:57" ht="15" hidden="1" customHeight="1" x14ac:dyDescent="0.2">
      <c r="A270" s="36">
        <v>259</v>
      </c>
      <c r="B270" s="59"/>
      <c r="C270" s="38"/>
      <c r="D270" s="38" t="e">
        <f>VLOOKUP(C270,Planilha1!$J$2:$L$206,3,)</f>
        <v>#N/A</v>
      </c>
      <c r="E270" s="39"/>
      <c r="F270" s="40"/>
      <c r="G270" s="49"/>
      <c r="H270" s="60">
        <f t="shared" si="35"/>
        <v>0</v>
      </c>
      <c r="I270" s="49">
        <f t="shared" si="36"/>
        <v>0</v>
      </c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49">
        <f t="shared" si="37"/>
        <v>0</v>
      </c>
      <c r="V270" s="29">
        <f t="shared" si="38"/>
        <v>0</v>
      </c>
      <c r="W270" s="29">
        <f t="shared" si="39"/>
        <v>0</v>
      </c>
      <c r="X270" s="61">
        <f t="shared" si="40"/>
        <v>0</v>
      </c>
      <c r="Y270" s="61"/>
      <c r="Z270" s="61"/>
      <c r="AA270" s="61"/>
      <c r="AB270" s="61"/>
      <c r="AC270" s="61"/>
      <c r="AD270" s="61"/>
      <c r="AE270" s="49">
        <f t="shared" si="41"/>
        <v>0</v>
      </c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49">
        <f t="shared" si="42"/>
        <v>0</v>
      </c>
    </row>
    <row r="271" spans="1:57" ht="15" hidden="1" customHeight="1" x14ac:dyDescent="0.2">
      <c r="A271" s="36">
        <v>260</v>
      </c>
      <c r="B271" s="59"/>
      <c r="C271" s="38"/>
      <c r="D271" s="38" t="e">
        <f>VLOOKUP(C271,Planilha1!$J$2:$L$206,3,)</f>
        <v>#N/A</v>
      </c>
      <c r="E271" s="39"/>
      <c r="F271" s="40"/>
      <c r="G271" s="49"/>
      <c r="H271" s="60">
        <f t="shared" si="35"/>
        <v>0</v>
      </c>
      <c r="I271" s="49">
        <f t="shared" si="36"/>
        <v>0</v>
      </c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49">
        <f t="shared" si="37"/>
        <v>0</v>
      </c>
      <c r="V271" s="29">
        <f t="shared" si="38"/>
        <v>0</v>
      </c>
      <c r="W271" s="29">
        <f t="shared" si="39"/>
        <v>0</v>
      </c>
      <c r="X271" s="61">
        <f t="shared" si="40"/>
        <v>0</v>
      </c>
      <c r="Y271" s="61"/>
      <c r="Z271" s="61"/>
      <c r="AA271" s="61"/>
      <c r="AB271" s="61"/>
      <c r="AC271" s="61"/>
      <c r="AD271" s="61"/>
      <c r="AE271" s="49">
        <f t="shared" si="41"/>
        <v>0</v>
      </c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49">
        <f t="shared" si="42"/>
        <v>0</v>
      </c>
    </row>
    <row r="272" spans="1:57" ht="15" hidden="1" customHeight="1" x14ac:dyDescent="0.2">
      <c r="A272" s="36">
        <v>261</v>
      </c>
      <c r="B272" s="59"/>
      <c r="C272" s="38"/>
      <c r="D272" s="38" t="e">
        <f>VLOOKUP(C272,Planilha1!$J$2:$L$206,3,)</f>
        <v>#N/A</v>
      </c>
      <c r="E272" s="39"/>
      <c r="F272" s="40"/>
      <c r="G272" s="49"/>
      <c r="H272" s="60">
        <f t="shared" si="35"/>
        <v>0</v>
      </c>
      <c r="I272" s="49">
        <f t="shared" si="36"/>
        <v>0</v>
      </c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49">
        <f t="shared" si="37"/>
        <v>0</v>
      </c>
      <c r="V272" s="29">
        <f t="shared" si="38"/>
        <v>0</v>
      </c>
      <c r="W272" s="29">
        <f t="shared" si="39"/>
        <v>0</v>
      </c>
      <c r="X272" s="61">
        <f t="shared" si="40"/>
        <v>0</v>
      </c>
      <c r="Y272" s="61"/>
      <c r="Z272" s="61"/>
      <c r="AA272" s="61"/>
      <c r="AB272" s="61"/>
      <c r="AC272" s="61"/>
      <c r="AD272" s="61"/>
      <c r="AE272" s="49">
        <f t="shared" si="41"/>
        <v>0</v>
      </c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49">
        <f t="shared" si="42"/>
        <v>0</v>
      </c>
    </row>
    <row r="273" spans="1:57" ht="15" hidden="1" customHeight="1" x14ac:dyDescent="0.2">
      <c r="A273" s="36">
        <v>262</v>
      </c>
      <c r="B273" s="59"/>
      <c r="C273" s="38"/>
      <c r="D273" s="38" t="e">
        <f>VLOOKUP(C273,Planilha1!$J$2:$L$206,3,)</f>
        <v>#N/A</v>
      </c>
      <c r="E273" s="39"/>
      <c r="F273" s="40"/>
      <c r="G273" s="49"/>
      <c r="H273" s="60">
        <f t="shared" si="35"/>
        <v>0</v>
      </c>
      <c r="I273" s="49">
        <f t="shared" si="36"/>
        <v>0</v>
      </c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49">
        <f t="shared" si="37"/>
        <v>0</v>
      </c>
      <c r="V273" s="29">
        <f t="shared" si="38"/>
        <v>0</v>
      </c>
      <c r="W273" s="29">
        <f t="shared" si="39"/>
        <v>0</v>
      </c>
      <c r="X273" s="61">
        <f t="shared" si="40"/>
        <v>0</v>
      </c>
      <c r="Y273" s="61"/>
      <c r="Z273" s="61"/>
      <c r="AA273" s="61"/>
      <c r="AB273" s="61"/>
      <c r="AC273" s="61"/>
      <c r="AD273" s="61"/>
      <c r="AE273" s="49">
        <f t="shared" si="41"/>
        <v>0</v>
      </c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49">
        <f t="shared" si="42"/>
        <v>0</v>
      </c>
    </row>
    <row r="274" spans="1:57" ht="15" hidden="1" customHeight="1" x14ac:dyDescent="0.2">
      <c r="A274" s="36">
        <v>263</v>
      </c>
      <c r="B274" s="59"/>
      <c r="C274" s="38"/>
      <c r="D274" s="38" t="e">
        <f>VLOOKUP(C274,Planilha1!$J$2:$L$206,3,)</f>
        <v>#N/A</v>
      </c>
      <c r="E274" s="39"/>
      <c r="F274" s="40"/>
      <c r="G274" s="49"/>
      <c r="H274" s="60">
        <f t="shared" si="35"/>
        <v>0</v>
      </c>
      <c r="I274" s="49">
        <f t="shared" si="36"/>
        <v>0</v>
      </c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49">
        <f t="shared" si="37"/>
        <v>0</v>
      </c>
      <c r="V274" s="29">
        <f t="shared" si="38"/>
        <v>0</v>
      </c>
      <c r="W274" s="29">
        <f t="shared" si="39"/>
        <v>0</v>
      </c>
      <c r="X274" s="61">
        <f t="shared" si="40"/>
        <v>0</v>
      </c>
      <c r="Y274" s="61"/>
      <c r="Z274" s="61"/>
      <c r="AA274" s="61"/>
      <c r="AB274" s="61"/>
      <c r="AC274" s="61"/>
      <c r="AD274" s="61"/>
      <c r="AE274" s="49">
        <f t="shared" si="41"/>
        <v>0</v>
      </c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49">
        <f t="shared" si="42"/>
        <v>0</v>
      </c>
    </row>
    <row r="275" spans="1:57" ht="15" hidden="1" customHeight="1" x14ac:dyDescent="0.2">
      <c r="A275" s="36">
        <v>264</v>
      </c>
      <c r="B275" s="59"/>
      <c r="C275" s="38"/>
      <c r="D275" s="38" t="e">
        <f>VLOOKUP(C275,Planilha1!$J$2:$L$206,3,)</f>
        <v>#N/A</v>
      </c>
      <c r="E275" s="39"/>
      <c r="F275" s="40"/>
      <c r="G275" s="49"/>
      <c r="H275" s="60">
        <f t="shared" si="35"/>
        <v>0</v>
      </c>
      <c r="I275" s="49">
        <f t="shared" si="36"/>
        <v>0</v>
      </c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49">
        <f t="shared" si="37"/>
        <v>0</v>
      </c>
      <c r="V275" s="29">
        <f t="shared" si="38"/>
        <v>0</v>
      </c>
      <c r="W275" s="29">
        <f t="shared" si="39"/>
        <v>0</v>
      </c>
      <c r="X275" s="61">
        <f t="shared" si="40"/>
        <v>0</v>
      </c>
      <c r="Y275" s="61"/>
      <c r="Z275" s="61"/>
      <c r="AA275" s="61"/>
      <c r="AB275" s="61"/>
      <c r="AC275" s="61"/>
      <c r="AD275" s="61"/>
      <c r="AE275" s="49">
        <f t="shared" si="41"/>
        <v>0</v>
      </c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49">
        <f t="shared" si="42"/>
        <v>0</v>
      </c>
    </row>
    <row r="276" spans="1:57" ht="15" hidden="1" customHeight="1" x14ac:dyDescent="0.2">
      <c r="A276" s="36">
        <v>265</v>
      </c>
      <c r="B276" s="59"/>
      <c r="C276" s="38"/>
      <c r="D276" s="38" t="e">
        <f>VLOOKUP(C276,Planilha1!$J$2:$L$206,3,)</f>
        <v>#N/A</v>
      </c>
      <c r="E276" s="39"/>
      <c r="F276" s="40"/>
      <c r="G276" s="49"/>
      <c r="H276" s="60">
        <f t="shared" si="35"/>
        <v>0</v>
      </c>
      <c r="I276" s="49">
        <f t="shared" si="36"/>
        <v>0</v>
      </c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49">
        <f t="shared" si="37"/>
        <v>0</v>
      </c>
      <c r="V276" s="29">
        <f t="shared" si="38"/>
        <v>0</v>
      </c>
      <c r="W276" s="29">
        <f t="shared" si="39"/>
        <v>0</v>
      </c>
      <c r="X276" s="61">
        <f t="shared" si="40"/>
        <v>0</v>
      </c>
      <c r="Y276" s="61"/>
      <c r="Z276" s="61"/>
      <c r="AA276" s="61"/>
      <c r="AB276" s="61"/>
      <c r="AC276" s="61"/>
      <c r="AD276" s="61"/>
      <c r="AE276" s="49">
        <f t="shared" si="41"/>
        <v>0</v>
      </c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49">
        <f t="shared" si="42"/>
        <v>0</v>
      </c>
    </row>
    <row r="277" spans="1:57" ht="15" hidden="1" customHeight="1" x14ac:dyDescent="0.2">
      <c r="A277" s="36">
        <v>266</v>
      </c>
      <c r="B277" s="59"/>
      <c r="C277" s="38"/>
      <c r="D277" s="38" t="e">
        <f>VLOOKUP(C277,Planilha1!$J$2:$L$206,3,)</f>
        <v>#N/A</v>
      </c>
      <c r="E277" s="39"/>
      <c r="F277" s="40"/>
      <c r="G277" s="49"/>
      <c r="H277" s="60">
        <f t="shared" si="35"/>
        <v>0</v>
      </c>
      <c r="I277" s="49">
        <f t="shared" si="36"/>
        <v>0</v>
      </c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49">
        <f t="shared" si="37"/>
        <v>0</v>
      </c>
      <c r="V277" s="29">
        <f t="shared" si="38"/>
        <v>0</v>
      </c>
      <c r="W277" s="29">
        <f t="shared" si="39"/>
        <v>0</v>
      </c>
      <c r="X277" s="61">
        <f t="shared" si="40"/>
        <v>0</v>
      </c>
      <c r="Y277" s="61"/>
      <c r="Z277" s="61"/>
      <c r="AA277" s="61"/>
      <c r="AB277" s="61"/>
      <c r="AC277" s="61"/>
      <c r="AD277" s="61"/>
      <c r="AE277" s="49">
        <f t="shared" si="41"/>
        <v>0</v>
      </c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49">
        <f t="shared" si="42"/>
        <v>0</v>
      </c>
    </row>
    <row r="278" spans="1:57" ht="15" hidden="1" customHeight="1" x14ac:dyDescent="0.2">
      <c r="A278" s="36">
        <v>267</v>
      </c>
      <c r="B278" s="59"/>
      <c r="C278" s="38"/>
      <c r="D278" s="38" t="e">
        <f>VLOOKUP(C278,Planilha1!$J$2:$L$206,3,)</f>
        <v>#N/A</v>
      </c>
      <c r="E278" s="39"/>
      <c r="F278" s="40"/>
      <c r="G278" s="49"/>
      <c r="H278" s="60">
        <f t="shared" si="35"/>
        <v>0</v>
      </c>
      <c r="I278" s="49">
        <f t="shared" si="36"/>
        <v>0</v>
      </c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49">
        <f t="shared" si="37"/>
        <v>0</v>
      </c>
      <c r="V278" s="29">
        <f t="shared" si="38"/>
        <v>0</v>
      </c>
      <c r="W278" s="29">
        <f t="shared" si="39"/>
        <v>0</v>
      </c>
      <c r="X278" s="61">
        <f t="shared" si="40"/>
        <v>0</v>
      </c>
      <c r="Y278" s="61"/>
      <c r="Z278" s="61"/>
      <c r="AA278" s="61"/>
      <c r="AB278" s="61"/>
      <c r="AC278" s="61"/>
      <c r="AD278" s="61"/>
      <c r="AE278" s="49">
        <f t="shared" si="41"/>
        <v>0</v>
      </c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49">
        <f t="shared" si="42"/>
        <v>0</v>
      </c>
    </row>
    <row r="279" spans="1:57" ht="15" hidden="1" customHeight="1" x14ac:dyDescent="0.2">
      <c r="A279" s="36">
        <v>268</v>
      </c>
      <c r="B279" s="59"/>
      <c r="C279" s="38"/>
      <c r="D279" s="38" t="e">
        <f>VLOOKUP(C279,Planilha1!$J$2:$L$206,3,)</f>
        <v>#N/A</v>
      </c>
      <c r="E279" s="39"/>
      <c r="F279" s="40"/>
      <c r="G279" s="49"/>
      <c r="H279" s="60">
        <f t="shared" si="35"/>
        <v>0</v>
      </c>
      <c r="I279" s="49">
        <f t="shared" si="36"/>
        <v>0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49">
        <f t="shared" si="37"/>
        <v>0</v>
      </c>
      <c r="V279" s="29">
        <f t="shared" si="38"/>
        <v>0</v>
      </c>
      <c r="W279" s="29">
        <f t="shared" si="39"/>
        <v>0</v>
      </c>
      <c r="X279" s="61">
        <f t="shared" si="40"/>
        <v>0</v>
      </c>
      <c r="Y279" s="61"/>
      <c r="Z279" s="61"/>
      <c r="AA279" s="61"/>
      <c r="AB279" s="61"/>
      <c r="AC279" s="61"/>
      <c r="AD279" s="61"/>
      <c r="AE279" s="49">
        <f t="shared" si="41"/>
        <v>0</v>
      </c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49">
        <f t="shared" si="42"/>
        <v>0</v>
      </c>
    </row>
    <row r="280" spans="1:57" ht="15" hidden="1" customHeight="1" x14ac:dyDescent="0.2">
      <c r="A280" s="36">
        <v>269</v>
      </c>
      <c r="B280" s="59"/>
      <c r="C280" s="38"/>
      <c r="D280" s="38" t="e">
        <f>VLOOKUP(C280,Planilha1!$J$2:$L$206,3,)</f>
        <v>#N/A</v>
      </c>
      <c r="E280" s="39"/>
      <c r="F280" s="40"/>
      <c r="G280" s="49"/>
      <c r="H280" s="60">
        <f t="shared" si="35"/>
        <v>0</v>
      </c>
      <c r="I280" s="49">
        <f t="shared" si="36"/>
        <v>0</v>
      </c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49">
        <f t="shared" si="37"/>
        <v>0</v>
      </c>
      <c r="V280" s="29">
        <f t="shared" si="38"/>
        <v>0</v>
      </c>
      <c r="W280" s="29">
        <f t="shared" si="39"/>
        <v>0</v>
      </c>
      <c r="X280" s="61">
        <f t="shared" si="40"/>
        <v>0</v>
      </c>
      <c r="Y280" s="61"/>
      <c r="Z280" s="61"/>
      <c r="AA280" s="61"/>
      <c r="AB280" s="61"/>
      <c r="AC280" s="61"/>
      <c r="AD280" s="61"/>
      <c r="AE280" s="49">
        <f t="shared" si="41"/>
        <v>0</v>
      </c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49">
        <f t="shared" si="42"/>
        <v>0</v>
      </c>
    </row>
    <row r="281" spans="1:57" ht="15" hidden="1" customHeight="1" x14ac:dyDescent="0.2">
      <c r="A281" s="36">
        <v>270</v>
      </c>
      <c r="B281" s="59"/>
      <c r="C281" s="38"/>
      <c r="D281" s="38" t="e">
        <f>VLOOKUP(C281,Planilha1!$J$2:$L$206,3,)</f>
        <v>#N/A</v>
      </c>
      <c r="E281" s="39"/>
      <c r="F281" s="40"/>
      <c r="G281" s="49"/>
      <c r="H281" s="60">
        <f t="shared" si="35"/>
        <v>0</v>
      </c>
      <c r="I281" s="49">
        <f t="shared" si="36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49">
        <f t="shared" si="37"/>
        <v>0</v>
      </c>
      <c r="V281" s="29">
        <f t="shared" si="38"/>
        <v>0</v>
      </c>
      <c r="W281" s="29">
        <f t="shared" si="39"/>
        <v>0</v>
      </c>
      <c r="X281" s="61">
        <f t="shared" si="40"/>
        <v>0</v>
      </c>
      <c r="Y281" s="61"/>
      <c r="Z281" s="61"/>
      <c r="AA281" s="61"/>
      <c r="AB281" s="61"/>
      <c r="AC281" s="61"/>
      <c r="AD281" s="61"/>
      <c r="AE281" s="49">
        <f t="shared" si="41"/>
        <v>0</v>
      </c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49">
        <f t="shared" si="42"/>
        <v>0</v>
      </c>
    </row>
    <row r="282" spans="1:57" ht="15" hidden="1" customHeight="1" x14ac:dyDescent="0.2">
      <c r="A282" s="36">
        <v>271</v>
      </c>
      <c r="B282" s="59"/>
      <c r="C282" s="38"/>
      <c r="D282" s="38" t="e">
        <f>VLOOKUP(C282,Planilha1!$J$2:$L$206,3,)</f>
        <v>#N/A</v>
      </c>
      <c r="E282" s="39"/>
      <c r="F282" s="40"/>
      <c r="G282" s="49"/>
      <c r="H282" s="60">
        <f t="shared" si="35"/>
        <v>0</v>
      </c>
      <c r="I282" s="49">
        <f t="shared" si="36"/>
        <v>0</v>
      </c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49">
        <f t="shared" si="37"/>
        <v>0</v>
      </c>
      <c r="V282" s="29">
        <f t="shared" si="38"/>
        <v>0</v>
      </c>
      <c r="W282" s="29">
        <f t="shared" si="39"/>
        <v>0</v>
      </c>
      <c r="X282" s="61">
        <f t="shared" si="40"/>
        <v>0</v>
      </c>
      <c r="Y282" s="61"/>
      <c r="Z282" s="61"/>
      <c r="AA282" s="61"/>
      <c r="AB282" s="61"/>
      <c r="AC282" s="61"/>
      <c r="AD282" s="61"/>
      <c r="AE282" s="49">
        <f t="shared" si="41"/>
        <v>0</v>
      </c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49">
        <f t="shared" si="42"/>
        <v>0</v>
      </c>
    </row>
    <row r="283" spans="1:57" ht="15" hidden="1" customHeight="1" x14ac:dyDescent="0.2">
      <c r="A283" s="36">
        <v>272</v>
      </c>
      <c r="B283" s="59"/>
      <c r="C283" s="38"/>
      <c r="D283" s="38" t="e">
        <f>VLOOKUP(C283,Planilha1!$J$2:$L$206,3,)</f>
        <v>#N/A</v>
      </c>
      <c r="E283" s="39"/>
      <c r="F283" s="40"/>
      <c r="G283" s="49"/>
      <c r="H283" s="60">
        <f t="shared" si="35"/>
        <v>0</v>
      </c>
      <c r="I283" s="49">
        <f t="shared" si="36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49">
        <f t="shared" si="37"/>
        <v>0</v>
      </c>
      <c r="V283" s="29">
        <f t="shared" si="38"/>
        <v>0</v>
      </c>
      <c r="W283" s="29">
        <f t="shared" si="39"/>
        <v>0</v>
      </c>
      <c r="X283" s="61">
        <f t="shared" si="40"/>
        <v>0</v>
      </c>
      <c r="Y283" s="61"/>
      <c r="Z283" s="61"/>
      <c r="AA283" s="61"/>
      <c r="AB283" s="61"/>
      <c r="AC283" s="61"/>
      <c r="AD283" s="61"/>
      <c r="AE283" s="49">
        <f t="shared" si="41"/>
        <v>0</v>
      </c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49">
        <f t="shared" si="42"/>
        <v>0</v>
      </c>
    </row>
    <row r="284" spans="1:57" ht="15" hidden="1" customHeight="1" x14ac:dyDescent="0.2">
      <c r="A284" s="36">
        <v>273</v>
      </c>
      <c r="B284" s="59"/>
      <c r="C284" s="38"/>
      <c r="D284" s="38" t="e">
        <f>VLOOKUP(C284,Planilha1!$J$2:$L$206,3,)</f>
        <v>#N/A</v>
      </c>
      <c r="E284" s="39"/>
      <c r="F284" s="40"/>
      <c r="G284" s="49"/>
      <c r="H284" s="60">
        <f t="shared" si="35"/>
        <v>0</v>
      </c>
      <c r="I284" s="49">
        <f t="shared" si="36"/>
        <v>0</v>
      </c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49">
        <f t="shared" si="37"/>
        <v>0</v>
      </c>
      <c r="V284" s="29">
        <f t="shared" si="38"/>
        <v>0</v>
      </c>
      <c r="W284" s="29">
        <f t="shared" si="39"/>
        <v>0</v>
      </c>
      <c r="X284" s="61">
        <f t="shared" si="40"/>
        <v>0</v>
      </c>
      <c r="Y284" s="61"/>
      <c r="Z284" s="61"/>
      <c r="AA284" s="61"/>
      <c r="AB284" s="61"/>
      <c r="AC284" s="61"/>
      <c r="AD284" s="61"/>
      <c r="AE284" s="49">
        <f t="shared" si="41"/>
        <v>0</v>
      </c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49">
        <f t="shared" si="42"/>
        <v>0</v>
      </c>
    </row>
    <row r="285" spans="1:57" ht="15" hidden="1" customHeight="1" x14ac:dyDescent="0.2">
      <c r="A285" s="36">
        <v>274</v>
      </c>
      <c r="B285" s="59"/>
      <c r="C285" s="38"/>
      <c r="D285" s="38" t="e">
        <f>VLOOKUP(C285,Planilha1!$J$2:$L$206,3,)</f>
        <v>#N/A</v>
      </c>
      <c r="E285" s="39"/>
      <c r="F285" s="40"/>
      <c r="G285" s="49"/>
      <c r="H285" s="60">
        <f t="shared" si="35"/>
        <v>0</v>
      </c>
      <c r="I285" s="49">
        <f t="shared" si="36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49">
        <f t="shared" si="37"/>
        <v>0</v>
      </c>
      <c r="V285" s="29">
        <f t="shared" si="38"/>
        <v>0</v>
      </c>
      <c r="W285" s="29">
        <f t="shared" si="39"/>
        <v>0</v>
      </c>
      <c r="X285" s="61">
        <f t="shared" si="40"/>
        <v>0</v>
      </c>
      <c r="Y285" s="61"/>
      <c r="Z285" s="61"/>
      <c r="AA285" s="61"/>
      <c r="AB285" s="61"/>
      <c r="AC285" s="61"/>
      <c r="AD285" s="61"/>
      <c r="AE285" s="49">
        <f t="shared" si="41"/>
        <v>0</v>
      </c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49">
        <f t="shared" si="42"/>
        <v>0</v>
      </c>
    </row>
    <row r="286" spans="1:57" ht="15" hidden="1" customHeight="1" x14ac:dyDescent="0.2">
      <c r="A286" s="36">
        <v>275</v>
      </c>
      <c r="B286" s="59"/>
      <c r="C286" s="38"/>
      <c r="D286" s="38" t="e">
        <f>VLOOKUP(C286,Planilha1!$J$2:$L$206,3,)</f>
        <v>#N/A</v>
      </c>
      <c r="E286" s="39"/>
      <c r="F286" s="40"/>
      <c r="G286" s="49"/>
      <c r="H286" s="60">
        <f t="shared" si="35"/>
        <v>0</v>
      </c>
      <c r="I286" s="49">
        <f t="shared" si="36"/>
        <v>0</v>
      </c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49">
        <f t="shared" si="37"/>
        <v>0</v>
      </c>
      <c r="V286" s="29">
        <f t="shared" si="38"/>
        <v>0</v>
      </c>
      <c r="W286" s="29">
        <f t="shared" si="39"/>
        <v>0</v>
      </c>
      <c r="X286" s="61">
        <f t="shared" si="40"/>
        <v>0</v>
      </c>
      <c r="Y286" s="61"/>
      <c r="Z286" s="61"/>
      <c r="AA286" s="61"/>
      <c r="AB286" s="61"/>
      <c r="AC286" s="61"/>
      <c r="AD286" s="61"/>
      <c r="AE286" s="49">
        <f t="shared" si="41"/>
        <v>0</v>
      </c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49">
        <f t="shared" si="42"/>
        <v>0</v>
      </c>
    </row>
    <row r="287" spans="1:57" ht="15" hidden="1" customHeight="1" x14ac:dyDescent="0.2">
      <c r="A287" s="36">
        <v>276</v>
      </c>
      <c r="B287" s="59"/>
      <c r="C287" s="38"/>
      <c r="D287" s="38" t="e">
        <f>VLOOKUP(C287,Planilha1!$J$2:$L$206,3,)</f>
        <v>#N/A</v>
      </c>
      <c r="E287" s="39"/>
      <c r="F287" s="40"/>
      <c r="G287" s="49"/>
      <c r="H287" s="60">
        <f t="shared" si="35"/>
        <v>0</v>
      </c>
      <c r="I287" s="49">
        <f t="shared" si="36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49">
        <f t="shared" si="37"/>
        <v>0</v>
      </c>
      <c r="V287" s="29">
        <f t="shared" si="38"/>
        <v>0</v>
      </c>
      <c r="W287" s="29">
        <f t="shared" si="39"/>
        <v>0</v>
      </c>
      <c r="X287" s="61">
        <f t="shared" si="40"/>
        <v>0</v>
      </c>
      <c r="Y287" s="61"/>
      <c r="Z287" s="61"/>
      <c r="AA287" s="61"/>
      <c r="AB287" s="61"/>
      <c r="AC287" s="61"/>
      <c r="AD287" s="61"/>
      <c r="AE287" s="49">
        <f t="shared" si="41"/>
        <v>0</v>
      </c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49">
        <f t="shared" si="42"/>
        <v>0</v>
      </c>
    </row>
    <row r="288" spans="1:57" ht="15" hidden="1" customHeight="1" x14ac:dyDescent="0.2">
      <c r="A288" s="36">
        <v>277</v>
      </c>
      <c r="B288" s="59"/>
      <c r="C288" s="38"/>
      <c r="D288" s="38" t="e">
        <f>VLOOKUP(C288,Planilha1!$J$2:$L$206,3,)</f>
        <v>#N/A</v>
      </c>
      <c r="E288" s="39"/>
      <c r="F288" s="40"/>
      <c r="G288" s="49"/>
      <c r="H288" s="60">
        <f t="shared" si="35"/>
        <v>0</v>
      </c>
      <c r="I288" s="49">
        <f t="shared" si="36"/>
        <v>0</v>
      </c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49">
        <f t="shared" si="37"/>
        <v>0</v>
      </c>
      <c r="V288" s="29">
        <f t="shared" si="38"/>
        <v>0</v>
      </c>
      <c r="W288" s="29">
        <f t="shared" si="39"/>
        <v>0</v>
      </c>
      <c r="X288" s="61">
        <f t="shared" si="40"/>
        <v>0</v>
      </c>
      <c r="Y288" s="61"/>
      <c r="Z288" s="61"/>
      <c r="AA288" s="61"/>
      <c r="AB288" s="61"/>
      <c r="AC288" s="61"/>
      <c r="AD288" s="61"/>
      <c r="AE288" s="49">
        <f t="shared" si="41"/>
        <v>0</v>
      </c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49">
        <f t="shared" si="42"/>
        <v>0</v>
      </c>
    </row>
    <row r="289" spans="1:57" ht="15" hidden="1" customHeight="1" x14ac:dyDescent="0.2">
      <c r="A289" s="36">
        <v>278</v>
      </c>
      <c r="B289" s="59"/>
      <c r="C289" s="38"/>
      <c r="D289" s="38" t="e">
        <f>VLOOKUP(C289,Planilha1!$J$2:$L$206,3,)</f>
        <v>#N/A</v>
      </c>
      <c r="E289" s="39"/>
      <c r="F289" s="40"/>
      <c r="G289" s="49"/>
      <c r="H289" s="60">
        <f t="shared" si="35"/>
        <v>0</v>
      </c>
      <c r="I289" s="49">
        <f t="shared" si="36"/>
        <v>0</v>
      </c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49">
        <f t="shared" si="37"/>
        <v>0</v>
      </c>
      <c r="V289" s="29">
        <f t="shared" si="38"/>
        <v>0</v>
      </c>
      <c r="W289" s="29">
        <f t="shared" si="39"/>
        <v>0</v>
      </c>
      <c r="X289" s="61">
        <f t="shared" si="40"/>
        <v>0</v>
      </c>
      <c r="Y289" s="61"/>
      <c r="Z289" s="61"/>
      <c r="AA289" s="61"/>
      <c r="AB289" s="61"/>
      <c r="AC289" s="61"/>
      <c r="AD289" s="61"/>
      <c r="AE289" s="49">
        <f t="shared" si="41"/>
        <v>0</v>
      </c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49">
        <f t="shared" si="42"/>
        <v>0</v>
      </c>
    </row>
    <row r="290" spans="1:57" ht="15" hidden="1" customHeight="1" x14ac:dyDescent="0.2">
      <c r="A290" s="36">
        <v>279</v>
      </c>
      <c r="B290" s="59"/>
      <c r="C290" s="38"/>
      <c r="D290" s="38" t="e">
        <f>VLOOKUP(C290,Planilha1!$J$2:$L$206,3,)</f>
        <v>#N/A</v>
      </c>
      <c r="E290" s="39"/>
      <c r="F290" s="40"/>
      <c r="G290" s="49"/>
      <c r="H290" s="60">
        <f t="shared" si="35"/>
        <v>0</v>
      </c>
      <c r="I290" s="49">
        <f t="shared" si="36"/>
        <v>0</v>
      </c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49">
        <f t="shared" si="37"/>
        <v>0</v>
      </c>
      <c r="V290" s="29">
        <f t="shared" si="38"/>
        <v>0</v>
      </c>
      <c r="W290" s="29">
        <f t="shared" si="39"/>
        <v>0</v>
      </c>
      <c r="X290" s="61">
        <f t="shared" si="40"/>
        <v>0</v>
      </c>
      <c r="Y290" s="61"/>
      <c r="Z290" s="61"/>
      <c r="AA290" s="61"/>
      <c r="AB290" s="61"/>
      <c r="AC290" s="61"/>
      <c r="AD290" s="61"/>
      <c r="AE290" s="49">
        <f t="shared" si="41"/>
        <v>0</v>
      </c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49">
        <f t="shared" si="42"/>
        <v>0</v>
      </c>
    </row>
    <row r="291" spans="1:57" ht="15" hidden="1" customHeight="1" x14ac:dyDescent="0.2">
      <c r="A291" s="36">
        <v>280</v>
      </c>
      <c r="B291" s="59"/>
      <c r="C291" s="38"/>
      <c r="D291" s="38" t="e">
        <f>VLOOKUP(C291,Planilha1!$J$2:$L$206,3,)</f>
        <v>#N/A</v>
      </c>
      <c r="E291" s="39"/>
      <c r="F291" s="40"/>
      <c r="G291" s="49"/>
      <c r="H291" s="60">
        <f t="shared" si="35"/>
        <v>0</v>
      </c>
      <c r="I291" s="49">
        <f t="shared" si="36"/>
        <v>0</v>
      </c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49">
        <f t="shared" si="37"/>
        <v>0</v>
      </c>
      <c r="V291" s="29">
        <f t="shared" si="38"/>
        <v>0</v>
      </c>
      <c r="W291" s="29">
        <f t="shared" si="39"/>
        <v>0</v>
      </c>
      <c r="X291" s="61">
        <f t="shared" si="40"/>
        <v>0</v>
      </c>
      <c r="Y291" s="61"/>
      <c r="Z291" s="61"/>
      <c r="AA291" s="61"/>
      <c r="AB291" s="61"/>
      <c r="AC291" s="61"/>
      <c r="AD291" s="61"/>
      <c r="AE291" s="49">
        <f t="shared" si="41"/>
        <v>0</v>
      </c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49">
        <f t="shared" si="42"/>
        <v>0</v>
      </c>
    </row>
    <row r="292" spans="1:57" ht="15" hidden="1" customHeight="1" x14ac:dyDescent="0.2">
      <c r="A292" s="36">
        <v>281</v>
      </c>
      <c r="B292" s="59"/>
      <c r="C292" s="38"/>
      <c r="D292" s="38" t="e">
        <f>VLOOKUP(C292,Planilha1!$J$2:$L$206,3,)</f>
        <v>#N/A</v>
      </c>
      <c r="E292" s="39"/>
      <c r="F292" s="40"/>
      <c r="G292" s="49"/>
      <c r="H292" s="60">
        <f t="shared" si="35"/>
        <v>0</v>
      </c>
      <c r="I292" s="49">
        <f t="shared" si="36"/>
        <v>0</v>
      </c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49">
        <f t="shared" si="37"/>
        <v>0</v>
      </c>
      <c r="V292" s="29">
        <f t="shared" si="38"/>
        <v>0</v>
      </c>
      <c r="W292" s="29">
        <f t="shared" si="39"/>
        <v>0</v>
      </c>
      <c r="X292" s="61">
        <f t="shared" si="40"/>
        <v>0</v>
      </c>
      <c r="Y292" s="61"/>
      <c r="Z292" s="61"/>
      <c r="AA292" s="61"/>
      <c r="AB292" s="61"/>
      <c r="AC292" s="61"/>
      <c r="AD292" s="61"/>
      <c r="AE292" s="49">
        <f t="shared" si="41"/>
        <v>0</v>
      </c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49">
        <f t="shared" si="42"/>
        <v>0</v>
      </c>
    </row>
    <row r="293" spans="1:57" ht="15" hidden="1" customHeight="1" x14ac:dyDescent="0.2">
      <c r="A293" s="36">
        <v>282</v>
      </c>
      <c r="B293" s="59"/>
      <c r="C293" s="38"/>
      <c r="D293" s="38" t="e">
        <f>VLOOKUP(C293,Planilha1!$J$2:$L$206,3,)</f>
        <v>#N/A</v>
      </c>
      <c r="E293" s="39"/>
      <c r="F293" s="40"/>
      <c r="G293" s="49"/>
      <c r="H293" s="60">
        <f t="shared" si="35"/>
        <v>0</v>
      </c>
      <c r="I293" s="49">
        <f t="shared" si="36"/>
        <v>0</v>
      </c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49">
        <f t="shared" si="37"/>
        <v>0</v>
      </c>
      <c r="V293" s="29">
        <f t="shared" si="38"/>
        <v>0</v>
      </c>
      <c r="W293" s="29">
        <f t="shared" si="39"/>
        <v>0</v>
      </c>
      <c r="X293" s="61">
        <f t="shared" si="40"/>
        <v>0</v>
      </c>
      <c r="Y293" s="61"/>
      <c r="Z293" s="61"/>
      <c r="AA293" s="61"/>
      <c r="AB293" s="61"/>
      <c r="AC293" s="61"/>
      <c r="AD293" s="61"/>
      <c r="AE293" s="49">
        <f t="shared" si="41"/>
        <v>0</v>
      </c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49">
        <f t="shared" si="42"/>
        <v>0</v>
      </c>
    </row>
    <row r="294" spans="1:57" ht="15" hidden="1" customHeight="1" x14ac:dyDescent="0.2">
      <c r="A294" s="36">
        <v>283</v>
      </c>
      <c r="B294" s="59"/>
      <c r="C294" s="38"/>
      <c r="D294" s="38" t="e">
        <f>VLOOKUP(C294,Planilha1!$J$2:$L$206,3,)</f>
        <v>#N/A</v>
      </c>
      <c r="E294" s="39"/>
      <c r="F294" s="40"/>
      <c r="G294" s="49"/>
      <c r="H294" s="60">
        <f t="shared" si="35"/>
        <v>0</v>
      </c>
      <c r="I294" s="49">
        <f t="shared" si="36"/>
        <v>0</v>
      </c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49">
        <f t="shared" si="37"/>
        <v>0</v>
      </c>
      <c r="V294" s="29">
        <f t="shared" si="38"/>
        <v>0</v>
      </c>
      <c r="W294" s="29">
        <f t="shared" si="39"/>
        <v>0</v>
      </c>
      <c r="X294" s="61">
        <f t="shared" si="40"/>
        <v>0</v>
      </c>
      <c r="Y294" s="61"/>
      <c r="Z294" s="61"/>
      <c r="AA294" s="61"/>
      <c r="AB294" s="61"/>
      <c r="AC294" s="61"/>
      <c r="AD294" s="61"/>
      <c r="AE294" s="49">
        <f t="shared" si="41"/>
        <v>0</v>
      </c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49">
        <f t="shared" si="42"/>
        <v>0</v>
      </c>
    </row>
    <row r="295" spans="1:57" ht="15" hidden="1" customHeight="1" x14ac:dyDescent="0.2">
      <c r="A295" s="36">
        <v>284</v>
      </c>
      <c r="B295" s="59"/>
      <c r="C295" s="38"/>
      <c r="D295" s="38" t="e">
        <f>VLOOKUP(C295,Planilha1!$J$2:$L$206,3,)</f>
        <v>#N/A</v>
      </c>
      <c r="E295" s="39"/>
      <c r="F295" s="40"/>
      <c r="G295" s="49"/>
      <c r="H295" s="60">
        <f t="shared" si="35"/>
        <v>0</v>
      </c>
      <c r="I295" s="49">
        <f t="shared" si="36"/>
        <v>0</v>
      </c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49">
        <f t="shared" si="37"/>
        <v>0</v>
      </c>
      <c r="V295" s="29">
        <f t="shared" si="38"/>
        <v>0</v>
      </c>
      <c r="W295" s="29">
        <f t="shared" si="39"/>
        <v>0</v>
      </c>
      <c r="X295" s="61">
        <f t="shared" si="40"/>
        <v>0</v>
      </c>
      <c r="Y295" s="61"/>
      <c r="Z295" s="61"/>
      <c r="AA295" s="61"/>
      <c r="AB295" s="61"/>
      <c r="AC295" s="61"/>
      <c r="AD295" s="61"/>
      <c r="AE295" s="49">
        <f t="shared" si="41"/>
        <v>0</v>
      </c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49">
        <f t="shared" si="42"/>
        <v>0</v>
      </c>
    </row>
    <row r="296" spans="1:57" ht="15" hidden="1" customHeight="1" x14ac:dyDescent="0.2">
      <c r="A296" s="36">
        <v>285</v>
      </c>
      <c r="B296" s="59"/>
      <c r="C296" s="38"/>
      <c r="D296" s="38" t="e">
        <f>VLOOKUP(C296,Planilha1!$J$2:$L$206,3,)</f>
        <v>#N/A</v>
      </c>
      <c r="E296" s="39"/>
      <c r="F296" s="40"/>
      <c r="G296" s="49"/>
      <c r="H296" s="60">
        <f t="shared" ref="H296:H359" si="43">I296+U296</f>
        <v>0</v>
      </c>
      <c r="I296" s="49">
        <f t="shared" ref="I296:I359" si="44">SUM(J296:T296)</f>
        <v>0</v>
      </c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49">
        <f t="shared" ref="U296:U359" si="45">X296+AE296</f>
        <v>0</v>
      </c>
      <c r="V296" s="29">
        <f t="shared" ref="V296:V359" si="46">IF(H296,U296/H296,0)</f>
        <v>0</v>
      </c>
      <c r="W296" s="29">
        <f t="shared" ref="W296:W359" si="47">IF(H296,I296/H296,0)</f>
        <v>0</v>
      </c>
      <c r="X296" s="61">
        <f t="shared" ref="X296:X359" si="48">SUM(Y296:AD296)</f>
        <v>0</v>
      </c>
      <c r="Y296" s="61"/>
      <c r="Z296" s="61"/>
      <c r="AA296" s="61"/>
      <c r="AB296" s="61"/>
      <c r="AC296" s="61"/>
      <c r="AD296" s="61"/>
      <c r="AE296" s="49">
        <f t="shared" ref="AE296:AE359" si="49">SUM(AF296:BD296)</f>
        <v>0</v>
      </c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49">
        <f t="shared" ref="BE296:BE359" si="50">I296+AE296</f>
        <v>0</v>
      </c>
    </row>
    <row r="297" spans="1:57" ht="15" hidden="1" customHeight="1" x14ac:dyDescent="0.2">
      <c r="A297" s="36">
        <v>286</v>
      </c>
      <c r="B297" s="59"/>
      <c r="C297" s="38"/>
      <c r="D297" s="38" t="e">
        <f>VLOOKUP(C297,Planilha1!$J$2:$L$206,3,)</f>
        <v>#N/A</v>
      </c>
      <c r="E297" s="39"/>
      <c r="F297" s="40"/>
      <c r="G297" s="49"/>
      <c r="H297" s="60">
        <f t="shared" si="43"/>
        <v>0</v>
      </c>
      <c r="I297" s="49">
        <f t="shared" si="44"/>
        <v>0</v>
      </c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49">
        <f t="shared" si="45"/>
        <v>0</v>
      </c>
      <c r="V297" s="29">
        <f t="shared" si="46"/>
        <v>0</v>
      </c>
      <c r="W297" s="29">
        <f t="shared" si="47"/>
        <v>0</v>
      </c>
      <c r="X297" s="61">
        <f t="shared" si="48"/>
        <v>0</v>
      </c>
      <c r="Y297" s="61"/>
      <c r="Z297" s="61"/>
      <c r="AA297" s="61"/>
      <c r="AB297" s="61"/>
      <c r="AC297" s="61"/>
      <c r="AD297" s="61"/>
      <c r="AE297" s="49">
        <f t="shared" si="49"/>
        <v>0</v>
      </c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49">
        <f t="shared" si="50"/>
        <v>0</v>
      </c>
    </row>
    <row r="298" spans="1:57" ht="15" hidden="1" customHeight="1" x14ac:dyDescent="0.2">
      <c r="A298" s="36">
        <v>287</v>
      </c>
      <c r="B298" s="59"/>
      <c r="C298" s="38"/>
      <c r="D298" s="38" t="e">
        <f>VLOOKUP(C298,Planilha1!$J$2:$L$206,3,)</f>
        <v>#N/A</v>
      </c>
      <c r="E298" s="39"/>
      <c r="F298" s="40"/>
      <c r="G298" s="49"/>
      <c r="H298" s="60">
        <f t="shared" si="43"/>
        <v>0</v>
      </c>
      <c r="I298" s="49">
        <f t="shared" si="44"/>
        <v>0</v>
      </c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49">
        <f t="shared" si="45"/>
        <v>0</v>
      </c>
      <c r="V298" s="29">
        <f t="shared" si="46"/>
        <v>0</v>
      </c>
      <c r="W298" s="29">
        <f t="shared" si="47"/>
        <v>0</v>
      </c>
      <c r="X298" s="61">
        <f t="shared" si="48"/>
        <v>0</v>
      </c>
      <c r="Y298" s="61"/>
      <c r="Z298" s="61"/>
      <c r="AA298" s="61"/>
      <c r="AB298" s="61"/>
      <c r="AC298" s="61"/>
      <c r="AD298" s="61"/>
      <c r="AE298" s="49">
        <f t="shared" si="49"/>
        <v>0</v>
      </c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49">
        <f t="shared" si="50"/>
        <v>0</v>
      </c>
    </row>
    <row r="299" spans="1:57" ht="15" hidden="1" customHeight="1" x14ac:dyDescent="0.2">
      <c r="A299" s="36">
        <v>288</v>
      </c>
      <c r="B299" s="59"/>
      <c r="C299" s="38"/>
      <c r="D299" s="38" t="e">
        <f>VLOOKUP(C299,Planilha1!$J$2:$L$206,3,)</f>
        <v>#N/A</v>
      </c>
      <c r="E299" s="39"/>
      <c r="F299" s="40"/>
      <c r="G299" s="49"/>
      <c r="H299" s="60">
        <f t="shared" si="43"/>
        <v>0</v>
      </c>
      <c r="I299" s="49">
        <f t="shared" si="44"/>
        <v>0</v>
      </c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49">
        <f t="shared" si="45"/>
        <v>0</v>
      </c>
      <c r="V299" s="29">
        <f t="shared" si="46"/>
        <v>0</v>
      </c>
      <c r="W299" s="29">
        <f t="shared" si="47"/>
        <v>0</v>
      </c>
      <c r="X299" s="61">
        <f t="shared" si="48"/>
        <v>0</v>
      </c>
      <c r="Y299" s="61"/>
      <c r="Z299" s="61"/>
      <c r="AA299" s="61"/>
      <c r="AB299" s="61"/>
      <c r="AC299" s="61"/>
      <c r="AD299" s="61"/>
      <c r="AE299" s="49">
        <f t="shared" si="49"/>
        <v>0</v>
      </c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49">
        <f t="shared" si="50"/>
        <v>0</v>
      </c>
    </row>
    <row r="300" spans="1:57" ht="15" hidden="1" customHeight="1" x14ac:dyDescent="0.2">
      <c r="A300" s="36">
        <v>289</v>
      </c>
      <c r="B300" s="59"/>
      <c r="C300" s="38"/>
      <c r="D300" s="38" t="e">
        <f>VLOOKUP(C300,Planilha1!$J$2:$L$206,3,)</f>
        <v>#N/A</v>
      </c>
      <c r="E300" s="39"/>
      <c r="F300" s="40"/>
      <c r="G300" s="49"/>
      <c r="H300" s="60">
        <f t="shared" si="43"/>
        <v>0</v>
      </c>
      <c r="I300" s="49">
        <f t="shared" si="44"/>
        <v>0</v>
      </c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49">
        <f t="shared" si="45"/>
        <v>0</v>
      </c>
      <c r="V300" s="29">
        <f t="shared" si="46"/>
        <v>0</v>
      </c>
      <c r="W300" s="29">
        <f t="shared" si="47"/>
        <v>0</v>
      </c>
      <c r="X300" s="61">
        <f t="shared" si="48"/>
        <v>0</v>
      </c>
      <c r="Y300" s="61"/>
      <c r="Z300" s="61"/>
      <c r="AA300" s="61"/>
      <c r="AB300" s="61"/>
      <c r="AC300" s="61"/>
      <c r="AD300" s="61"/>
      <c r="AE300" s="49">
        <f t="shared" si="49"/>
        <v>0</v>
      </c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49">
        <f t="shared" si="50"/>
        <v>0</v>
      </c>
    </row>
    <row r="301" spans="1:57" ht="15" hidden="1" customHeight="1" x14ac:dyDescent="0.2">
      <c r="A301" s="36">
        <v>290</v>
      </c>
      <c r="B301" s="59"/>
      <c r="C301" s="38"/>
      <c r="D301" s="38" t="e">
        <f>VLOOKUP(C301,Planilha1!$J$2:$L$206,3,)</f>
        <v>#N/A</v>
      </c>
      <c r="E301" s="39"/>
      <c r="F301" s="40"/>
      <c r="G301" s="49"/>
      <c r="H301" s="60">
        <f t="shared" si="43"/>
        <v>0</v>
      </c>
      <c r="I301" s="49">
        <f t="shared" si="44"/>
        <v>0</v>
      </c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49">
        <f t="shared" si="45"/>
        <v>0</v>
      </c>
      <c r="V301" s="29">
        <f t="shared" si="46"/>
        <v>0</v>
      </c>
      <c r="W301" s="29">
        <f t="shared" si="47"/>
        <v>0</v>
      </c>
      <c r="X301" s="61">
        <f t="shared" si="48"/>
        <v>0</v>
      </c>
      <c r="Y301" s="61"/>
      <c r="Z301" s="61"/>
      <c r="AA301" s="61"/>
      <c r="AB301" s="61"/>
      <c r="AC301" s="61"/>
      <c r="AD301" s="61"/>
      <c r="AE301" s="49">
        <f t="shared" si="49"/>
        <v>0</v>
      </c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49">
        <f t="shared" si="50"/>
        <v>0</v>
      </c>
    </row>
    <row r="302" spans="1:57" ht="15" hidden="1" customHeight="1" x14ac:dyDescent="0.2">
      <c r="A302" s="36">
        <v>291</v>
      </c>
      <c r="B302" s="59"/>
      <c r="C302" s="38"/>
      <c r="D302" s="38" t="e">
        <f>VLOOKUP(C302,Planilha1!$J$2:$L$206,3,)</f>
        <v>#N/A</v>
      </c>
      <c r="E302" s="39"/>
      <c r="F302" s="40"/>
      <c r="G302" s="49"/>
      <c r="H302" s="60">
        <f t="shared" si="43"/>
        <v>0</v>
      </c>
      <c r="I302" s="49">
        <f t="shared" si="44"/>
        <v>0</v>
      </c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49">
        <f t="shared" si="45"/>
        <v>0</v>
      </c>
      <c r="V302" s="29">
        <f t="shared" si="46"/>
        <v>0</v>
      </c>
      <c r="W302" s="29">
        <f t="shared" si="47"/>
        <v>0</v>
      </c>
      <c r="X302" s="61">
        <f t="shared" si="48"/>
        <v>0</v>
      </c>
      <c r="Y302" s="61"/>
      <c r="Z302" s="61"/>
      <c r="AA302" s="61"/>
      <c r="AB302" s="61"/>
      <c r="AC302" s="61"/>
      <c r="AD302" s="61"/>
      <c r="AE302" s="49">
        <f t="shared" si="49"/>
        <v>0</v>
      </c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49">
        <f t="shared" si="50"/>
        <v>0</v>
      </c>
    </row>
    <row r="303" spans="1:57" ht="15" hidden="1" customHeight="1" x14ac:dyDescent="0.2">
      <c r="A303" s="36">
        <v>292</v>
      </c>
      <c r="B303" s="59"/>
      <c r="C303" s="38"/>
      <c r="D303" s="38" t="e">
        <f>VLOOKUP(C303,Planilha1!$J$2:$L$206,3,)</f>
        <v>#N/A</v>
      </c>
      <c r="E303" s="39"/>
      <c r="F303" s="40"/>
      <c r="G303" s="49"/>
      <c r="H303" s="60">
        <f t="shared" si="43"/>
        <v>0</v>
      </c>
      <c r="I303" s="49">
        <f t="shared" si="44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49">
        <f t="shared" si="45"/>
        <v>0</v>
      </c>
      <c r="V303" s="29">
        <f t="shared" si="46"/>
        <v>0</v>
      </c>
      <c r="W303" s="29">
        <f t="shared" si="47"/>
        <v>0</v>
      </c>
      <c r="X303" s="61">
        <f t="shared" si="48"/>
        <v>0</v>
      </c>
      <c r="Y303" s="61"/>
      <c r="Z303" s="61"/>
      <c r="AA303" s="61"/>
      <c r="AB303" s="61"/>
      <c r="AC303" s="61"/>
      <c r="AD303" s="61"/>
      <c r="AE303" s="49">
        <f t="shared" si="49"/>
        <v>0</v>
      </c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49">
        <f t="shared" si="50"/>
        <v>0</v>
      </c>
    </row>
    <row r="304" spans="1:57" ht="15" hidden="1" customHeight="1" x14ac:dyDescent="0.2">
      <c r="A304" s="36">
        <v>293</v>
      </c>
      <c r="B304" s="59"/>
      <c r="C304" s="38"/>
      <c r="D304" s="38" t="e">
        <f>VLOOKUP(C304,Planilha1!$J$2:$L$206,3,)</f>
        <v>#N/A</v>
      </c>
      <c r="E304" s="39"/>
      <c r="F304" s="40"/>
      <c r="G304" s="49"/>
      <c r="H304" s="60">
        <f t="shared" si="43"/>
        <v>0</v>
      </c>
      <c r="I304" s="49">
        <f t="shared" si="44"/>
        <v>0</v>
      </c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49">
        <f t="shared" si="45"/>
        <v>0</v>
      </c>
      <c r="V304" s="29">
        <f t="shared" si="46"/>
        <v>0</v>
      </c>
      <c r="W304" s="29">
        <f t="shared" si="47"/>
        <v>0</v>
      </c>
      <c r="X304" s="61">
        <f t="shared" si="48"/>
        <v>0</v>
      </c>
      <c r="Y304" s="61"/>
      <c r="Z304" s="61"/>
      <c r="AA304" s="61"/>
      <c r="AB304" s="61"/>
      <c r="AC304" s="61"/>
      <c r="AD304" s="61"/>
      <c r="AE304" s="49">
        <f t="shared" si="49"/>
        <v>0</v>
      </c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49">
        <f t="shared" si="50"/>
        <v>0</v>
      </c>
    </row>
    <row r="305" spans="1:57" ht="15" hidden="1" customHeight="1" x14ac:dyDescent="0.2">
      <c r="A305" s="36">
        <v>294</v>
      </c>
      <c r="B305" s="59"/>
      <c r="C305" s="38"/>
      <c r="D305" s="38" t="e">
        <f>VLOOKUP(C305,Planilha1!$J$2:$L$206,3,)</f>
        <v>#N/A</v>
      </c>
      <c r="E305" s="39"/>
      <c r="F305" s="40"/>
      <c r="G305" s="49"/>
      <c r="H305" s="60">
        <f t="shared" si="43"/>
        <v>0</v>
      </c>
      <c r="I305" s="49">
        <f t="shared" si="44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49">
        <f t="shared" si="45"/>
        <v>0</v>
      </c>
      <c r="V305" s="29">
        <f t="shared" si="46"/>
        <v>0</v>
      </c>
      <c r="W305" s="29">
        <f t="shared" si="47"/>
        <v>0</v>
      </c>
      <c r="X305" s="61">
        <f t="shared" si="48"/>
        <v>0</v>
      </c>
      <c r="Y305" s="61"/>
      <c r="Z305" s="61"/>
      <c r="AA305" s="61"/>
      <c r="AB305" s="61"/>
      <c r="AC305" s="61"/>
      <c r="AD305" s="61"/>
      <c r="AE305" s="49">
        <f t="shared" si="49"/>
        <v>0</v>
      </c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49">
        <f t="shared" si="50"/>
        <v>0</v>
      </c>
    </row>
    <row r="306" spans="1:57" ht="15" hidden="1" customHeight="1" x14ac:dyDescent="0.2">
      <c r="A306" s="36">
        <v>295</v>
      </c>
      <c r="B306" s="59"/>
      <c r="C306" s="38"/>
      <c r="D306" s="38" t="e">
        <f>VLOOKUP(C306,Planilha1!$J$2:$L$206,3,)</f>
        <v>#N/A</v>
      </c>
      <c r="E306" s="39"/>
      <c r="F306" s="40"/>
      <c r="G306" s="49"/>
      <c r="H306" s="60">
        <f t="shared" si="43"/>
        <v>0</v>
      </c>
      <c r="I306" s="49">
        <f t="shared" si="44"/>
        <v>0</v>
      </c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49">
        <f t="shared" si="45"/>
        <v>0</v>
      </c>
      <c r="V306" s="29">
        <f t="shared" si="46"/>
        <v>0</v>
      </c>
      <c r="W306" s="29">
        <f t="shared" si="47"/>
        <v>0</v>
      </c>
      <c r="X306" s="61">
        <f t="shared" si="48"/>
        <v>0</v>
      </c>
      <c r="Y306" s="61"/>
      <c r="Z306" s="61"/>
      <c r="AA306" s="61"/>
      <c r="AB306" s="61"/>
      <c r="AC306" s="61"/>
      <c r="AD306" s="61"/>
      <c r="AE306" s="49">
        <f t="shared" si="49"/>
        <v>0</v>
      </c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49">
        <f t="shared" si="50"/>
        <v>0</v>
      </c>
    </row>
    <row r="307" spans="1:57" ht="15" hidden="1" customHeight="1" x14ac:dyDescent="0.2">
      <c r="A307" s="36">
        <v>296</v>
      </c>
      <c r="B307" s="59"/>
      <c r="C307" s="38"/>
      <c r="D307" s="38" t="e">
        <f>VLOOKUP(C307,Planilha1!$J$2:$L$206,3,)</f>
        <v>#N/A</v>
      </c>
      <c r="E307" s="39"/>
      <c r="F307" s="40"/>
      <c r="G307" s="49"/>
      <c r="H307" s="60">
        <f t="shared" si="43"/>
        <v>0</v>
      </c>
      <c r="I307" s="49">
        <f t="shared" si="44"/>
        <v>0</v>
      </c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49">
        <f t="shared" si="45"/>
        <v>0</v>
      </c>
      <c r="V307" s="29">
        <f t="shared" si="46"/>
        <v>0</v>
      </c>
      <c r="W307" s="29">
        <f t="shared" si="47"/>
        <v>0</v>
      </c>
      <c r="X307" s="61">
        <f t="shared" si="48"/>
        <v>0</v>
      </c>
      <c r="Y307" s="61"/>
      <c r="Z307" s="61"/>
      <c r="AA307" s="61"/>
      <c r="AB307" s="61"/>
      <c r="AC307" s="61"/>
      <c r="AD307" s="61"/>
      <c r="AE307" s="49">
        <f t="shared" si="49"/>
        <v>0</v>
      </c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49">
        <f t="shared" si="50"/>
        <v>0</v>
      </c>
    </row>
    <row r="308" spans="1:57" ht="15" hidden="1" customHeight="1" x14ac:dyDescent="0.2">
      <c r="A308" s="36">
        <v>297</v>
      </c>
      <c r="B308" s="59"/>
      <c r="C308" s="38"/>
      <c r="D308" s="38" t="e">
        <f>VLOOKUP(C308,Planilha1!$J$2:$L$206,3,)</f>
        <v>#N/A</v>
      </c>
      <c r="E308" s="39"/>
      <c r="F308" s="40"/>
      <c r="G308" s="49"/>
      <c r="H308" s="60">
        <f t="shared" si="43"/>
        <v>0</v>
      </c>
      <c r="I308" s="49">
        <f t="shared" si="44"/>
        <v>0</v>
      </c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49">
        <f t="shared" si="45"/>
        <v>0</v>
      </c>
      <c r="V308" s="29">
        <f t="shared" si="46"/>
        <v>0</v>
      </c>
      <c r="W308" s="29">
        <f t="shared" si="47"/>
        <v>0</v>
      </c>
      <c r="X308" s="61">
        <f t="shared" si="48"/>
        <v>0</v>
      </c>
      <c r="Y308" s="61"/>
      <c r="Z308" s="61"/>
      <c r="AA308" s="61"/>
      <c r="AB308" s="61"/>
      <c r="AC308" s="61"/>
      <c r="AD308" s="61"/>
      <c r="AE308" s="49">
        <f t="shared" si="49"/>
        <v>0</v>
      </c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49">
        <f t="shared" si="50"/>
        <v>0</v>
      </c>
    </row>
    <row r="309" spans="1:57" ht="15" hidden="1" customHeight="1" x14ac:dyDescent="0.2">
      <c r="A309" s="36">
        <v>298</v>
      </c>
      <c r="B309" s="59"/>
      <c r="C309" s="38"/>
      <c r="D309" s="38" t="e">
        <f>VLOOKUP(C309,Planilha1!$J$2:$L$206,3,)</f>
        <v>#N/A</v>
      </c>
      <c r="E309" s="39"/>
      <c r="F309" s="40"/>
      <c r="G309" s="49"/>
      <c r="H309" s="60">
        <f t="shared" si="43"/>
        <v>0</v>
      </c>
      <c r="I309" s="49">
        <f t="shared" si="44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49">
        <f t="shared" si="45"/>
        <v>0</v>
      </c>
      <c r="V309" s="29">
        <f t="shared" si="46"/>
        <v>0</v>
      </c>
      <c r="W309" s="29">
        <f t="shared" si="47"/>
        <v>0</v>
      </c>
      <c r="X309" s="61">
        <f t="shared" si="48"/>
        <v>0</v>
      </c>
      <c r="Y309" s="61"/>
      <c r="Z309" s="61"/>
      <c r="AA309" s="61"/>
      <c r="AB309" s="61"/>
      <c r="AC309" s="61"/>
      <c r="AD309" s="61"/>
      <c r="AE309" s="49">
        <f t="shared" si="49"/>
        <v>0</v>
      </c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49">
        <f t="shared" si="50"/>
        <v>0</v>
      </c>
    </row>
    <row r="310" spans="1:57" ht="15" hidden="1" customHeight="1" x14ac:dyDescent="0.2">
      <c r="A310" s="36">
        <v>299</v>
      </c>
      <c r="B310" s="59"/>
      <c r="C310" s="38"/>
      <c r="D310" s="38" t="e">
        <f>VLOOKUP(C310,Planilha1!$J$2:$L$206,3,)</f>
        <v>#N/A</v>
      </c>
      <c r="E310" s="39"/>
      <c r="F310" s="40"/>
      <c r="G310" s="49"/>
      <c r="H310" s="60">
        <f t="shared" si="43"/>
        <v>0</v>
      </c>
      <c r="I310" s="49">
        <f t="shared" si="44"/>
        <v>0</v>
      </c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49">
        <f t="shared" si="45"/>
        <v>0</v>
      </c>
      <c r="V310" s="29">
        <f t="shared" si="46"/>
        <v>0</v>
      </c>
      <c r="W310" s="29">
        <f t="shared" si="47"/>
        <v>0</v>
      </c>
      <c r="X310" s="61">
        <f t="shared" si="48"/>
        <v>0</v>
      </c>
      <c r="Y310" s="61"/>
      <c r="Z310" s="61"/>
      <c r="AA310" s="61"/>
      <c r="AB310" s="61"/>
      <c r="AC310" s="61"/>
      <c r="AD310" s="61"/>
      <c r="AE310" s="49">
        <f t="shared" si="49"/>
        <v>0</v>
      </c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49">
        <f t="shared" si="50"/>
        <v>0</v>
      </c>
    </row>
    <row r="311" spans="1:57" ht="15" hidden="1" customHeight="1" x14ac:dyDescent="0.2">
      <c r="A311" s="36">
        <v>300</v>
      </c>
      <c r="B311" s="59"/>
      <c r="C311" s="38"/>
      <c r="D311" s="38" t="e">
        <f>VLOOKUP(C311,Planilha1!$J$2:$L$206,3,)</f>
        <v>#N/A</v>
      </c>
      <c r="E311" s="39"/>
      <c r="F311" s="40"/>
      <c r="G311" s="49"/>
      <c r="H311" s="60">
        <f t="shared" si="43"/>
        <v>0</v>
      </c>
      <c r="I311" s="49">
        <f t="shared" si="44"/>
        <v>0</v>
      </c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49">
        <f t="shared" si="45"/>
        <v>0</v>
      </c>
      <c r="V311" s="29">
        <f t="shared" si="46"/>
        <v>0</v>
      </c>
      <c r="W311" s="29">
        <f t="shared" si="47"/>
        <v>0</v>
      </c>
      <c r="X311" s="61">
        <f t="shared" si="48"/>
        <v>0</v>
      </c>
      <c r="Y311" s="61"/>
      <c r="Z311" s="61"/>
      <c r="AA311" s="61"/>
      <c r="AB311" s="61"/>
      <c r="AC311" s="61"/>
      <c r="AD311" s="61"/>
      <c r="AE311" s="49">
        <f t="shared" si="49"/>
        <v>0</v>
      </c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49">
        <f t="shared" si="50"/>
        <v>0</v>
      </c>
    </row>
    <row r="312" spans="1:57" ht="15" hidden="1" customHeight="1" x14ac:dyDescent="0.2">
      <c r="A312" s="36">
        <v>301</v>
      </c>
      <c r="B312" s="59"/>
      <c r="C312" s="38"/>
      <c r="D312" s="38" t="e">
        <f>VLOOKUP(C312,Planilha1!$J$2:$L$206,3,)</f>
        <v>#N/A</v>
      </c>
      <c r="E312" s="39"/>
      <c r="F312" s="40"/>
      <c r="G312" s="49"/>
      <c r="H312" s="60">
        <f t="shared" si="43"/>
        <v>0</v>
      </c>
      <c r="I312" s="49">
        <f t="shared" si="44"/>
        <v>0</v>
      </c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49">
        <f t="shared" si="45"/>
        <v>0</v>
      </c>
      <c r="V312" s="29">
        <f t="shared" si="46"/>
        <v>0</v>
      </c>
      <c r="W312" s="29">
        <f t="shared" si="47"/>
        <v>0</v>
      </c>
      <c r="X312" s="61">
        <f t="shared" si="48"/>
        <v>0</v>
      </c>
      <c r="Y312" s="61"/>
      <c r="Z312" s="61"/>
      <c r="AA312" s="61"/>
      <c r="AB312" s="61"/>
      <c r="AC312" s="61"/>
      <c r="AD312" s="61"/>
      <c r="AE312" s="49">
        <f t="shared" si="49"/>
        <v>0</v>
      </c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49">
        <f t="shared" si="50"/>
        <v>0</v>
      </c>
    </row>
    <row r="313" spans="1:57" ht="15" hidden="1" customHeight="1" x14ac:dyDescent="0.2">
      <c r="A313" s="36">
        <v>302</v>
      </c>
      <c r="B313" s="59"/>
      <c r="C313" s="38"/>
      <c r="D313" s="38" t="e">
        <f>VLOOKUP(C313,Planilha1!$J$2:$L$206,3,)</f>
        <v>#N/A</v>
      </c>
      <c r="E313" s="39"/>
      <c r="F313" s="40"/>
      <c r="G313" s="49"/>
      <c r="H313" s="60">
        <f t="shared" si="43"/>
        <v>0</v>
      </c>
      <c r="I313" s="49">
        <f t="shared" si="44"/>
        <v>0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49">
        <f t="shared" si="45"/>
        <v>0</v>
      </c>
      <c r="V313" s="29">
        <f t="shared" si="46"/>
        <v>0</v>
      </c>
      <c r="W313" s="29">
        <f t="shared" si="47"/>
        <v>0</v>
      </c>
      <c r="X313" s="61">
        <f t="shared" si="48"/>
        <v>0</v>
      </c>
      <c r="Y313" s="61"/>
      <c r="Z313" s="61"/>
      <c r="AA313" s="61"/>
      <c r="AB313" s="61"/>
      <c r="AC313" s="61"/>
      <c r="AD313" s="61"/>
      <c r="AE313" s="49">
        <f t="shared" si="49"/>
        <v>0</v>
      </c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49">
        <f t="shared" si="50"/>
        <v>0</v>
      </c>
    </row>
    <row r="314" spans="1:57" ht="15" hidden="1" customHeight="1" x14ac:dyDescent="0.2">
      <c r="A314" s="36">
        <v>303</v>
      </c>
      <c r="B314" s="59"/>
      <c r="C314" s="38"/>
      <c r="D314" s="38" t="e">
        <f>VLOOKUP(C314,Planilha1!$J$2:$L$206,3,)</f>
        <v>#N/A</v>
      </c>
      <c r="E314" s="39"/>
      <c r="F314" s="40"/>
      <c r="G314" s="49"/>
      <c r="H314" s="60">
        <f t="shared" si="43"/>
        <v>0</v>
      </c>
      <c r="I314" s="49">
        <f t="shared" si="44"/>
        <v>0</v>
      </c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49">
        <f t="shared" si="45"/>
        <v>0</v>
      </c>
      <c r="V314" s="29">
        <f t="shared" si="46"/>
        <v>0</v>
      </c>
      <c r="W314" s="29">
        <f t="shared" si="47"/>
        <v>0</v>
      </c>
      <c r="X314" s="61">
        <f t="shared" si="48"/>
        <v>0</v>
      </c>
      <c r="Y314" s="61"/>
      <c r="Z314" s="61"/>
      <c r="AA314" s="61"/>
      <c r="AB314" s="61"/>
      <c r="AC314" s="61"/>
      <c r="AD314" s="61"/>
      <c r="AE314" s="49">
        <f t="shared" si="49"/>
        <v>0</v>
      </c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49">
        <f t="shared" si="50"/>
        <v>0</v>
      </c>
    </row>
    <row r="315" spans="1:57" ht="15" hidden="1" customHeight="1" x14ac:dyDescent="0.2">
      <c r="A315" s="36">
        <v>304</v>
      </c>
      <c r="B315" s="59"/>
      <c r="C315" s="38"/>
      <c r="D315" s="38" t="e">
        <f>VLOOKUP(C315,Planilha1!$J$2:$L$206,3,)</f>
        <v>#N/A</v>
      </c>
      <c r="E315" s="39"/>
      <c r="F315" s="40"/>
      <c r="G315" s="49"/>
      <c r="H315" s="60">
        <f t="shared" si="43"/>
        <v>0</v>
      </c>
      <c r="I315" s="49">
        <f t="shared" si="44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49">
        <f t="shared" si="45"/>
        <v>0</v>
      </c>
      <c r="V315" s="29">
        <f t="shared" si="46"/>
        <v>0</v>
      </c>
      <c r="W315" s="29">
        <f t="shared" si="47"/>
        <v>0</v>
      </c>
      <c r="X315" s="61">
        <f t="shared" si="48"/>
        <v>0</v>
      </c>
      <c r="Y315" s="61"/>
      <c r="Z315" s="61"/>
      <c r="AA315" s="61"/>
      <c r="AB315" s="61"/>
      <c r="AC315" s="61"/>
      <c r="AD315" s="61"/>
      <c r="AE315" s="49">
        <f t="shared" si="49"/>
        <v>0</v>
      </c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49">
        <f t="shared" si="50"/>
        <v>0</v>
      </c>
    </row>
    <row r="316" spans="1:57" ht="15" hidden="1" customHeight="1" x14ac:dyDescent="0.2">
      <c r="A316" s="36">
        <v>305</v>
      </c>
      <c r="B316" s="59"/>
      <c r="C316" s="38"/>
      <c r="D316" s="38" t="e">
        <f>VLOOKUP(C316,Planilha1!$J$2:$L$206,3,)</f>
        <v>#N/A</v>
      </c>
      <c r="E316" s="39"/>
      <c r="F316" s="40"/>
      <c r="G316" s="49"/>
      <c r="H316" s="60">
        <f t="shared" si="43"/>
        <v>0</v>
      </c>
      <c r="I316" s="49">
        <f t="shared" si="44"/>
        <v>0</v>
      </c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49">
        <f t="shared" si="45"/>
        <v>0</v>
      </c>
      <c r="V316" s="29">
        <f t="shared" si="46"/>
        <v>0</v>
      </c>
      <c r="W316" s="29">
        <f t="shared" si="47"/>
        <v>0</v>
      </c>
      <c r="X316" s="61">
        <f t="shared" si="48"/>
        <v>0</v>
      </c>
      <c r="Y316" s="61"/>
      <c r="Z316" s="61"/>
      <c r="AA316" s="61"/>
      <c r="AB316" s="61"/>
      <c r="AC316" s="61"/>
      <c r="AD316" s="61"/>
      <c r="AE316" s="49">
        <f t="shared" si="49"/>
        <v>0</v>
      </c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49">
        <f t="shared" si="50"/>
        <v>0</v>
      </c>
    </row>
    <row r="317" spans="1:57" ht="15" hidden="1" customHeight="1" x14ac:dyDescent="0.2">
      <c r="A317" s="36">
        <v>306</v>
      </c>
      <c r="B317" s="59"/>
      <c r="C317" s="38"/>
      <c r="D317" s="38" t="e">
        <f>VLOOKUP(C317,Planilha1!$J$2:$L$206,3,)</f>
        <v>#N/A</v>
      </c>
      <c r="E317" s="39"/>
      <c r="F317" s="40"/>
      <c r="G317" s="49"/>
      <c r="H317" s="60">
        <f t="shared" si="43"/>
        <v>0</v>
      </c>
      <c r="I317" s="49">
        <f t="shared" si="44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49">
        <f t="shared" si="45"/>
        <v>0</v>
      </c>
      <c r="V317" s="29">
        <f t="shared" si="46"/>
        <v>0</v>
      </c>
      <c r="W317" s="29">
        <f t="shared" si="47"/>
        <v>0</v>
      </c>
      <c r="X317" s="61">
        <f t="shared" si="48"/>
        <v>0</v>
      </c>
      <c r="Y317" s="61"/>
      <c r="Z317" s="61"/>
      <c r="AA317" s="61"/>
      <c r="AB317" s="61"/>
      <c r="AC317" s="61"/>
      <c r="AD317" s="61"/>
      <c r="AE317" s="49">
        <f t="shared" si="49"/>
        <v>0</v>
      </c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49">
        <f t="shared" si="50"/>
        <v>0</v>
      </c>
    </row>
    <row r="318" spans="1:57" ht="15" hidden="1" customHeight="1" x14ac:dyDescent="0.2">
      <c r="A318" s="36">
        <v>307</v>
      </c>
      <c r="B318" s="59"/>
      <c r="C318" s="38"/>
      <c r="D318" s="38" t="e">
        <f>VLOOKUP(C318,Planilha1!$J$2:$L$206,3,)</f>
        <v>#N/A</v>
      </c>
      <c r="E318" s="39"/>
      <c r="F318" s="40"/>
      <c r="G318" s="49"/>
      <c r="H318" s="60">
        <f t="shared" si="43"/>
        <v>0</v>
      </c>
      <c r="I318" s="49">
        <f t="shared" si="44"/>
        <v>0</v>
      </c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49">
        <f t="shared" si="45"/>
        <v>0</v>
      </c>
      <c r="V318" s="29">
        <f t="shared" si="46"/>
        <v>0</v>
      </c>
      <c r="W318" s="29">
        <f t="shared" si="47"/>
        <v>0</v>
      </c>
      <c r="X318" s="61">
        <f t="shared" si="48"/>
        <v>0</v>
      </c>
      <c r="Y318" s="61"/>
      <c r="Z318" s="61"/>
      <c r="AA318" s="61"/>
      <c r="AB318" s="61"/>
      <c r="AC318" s="61"/>
      <c r="AD318" s="61"/>
      <c r="AE318" s="49">
        <f t="shared" si="49"/>
        <v>0</v>
      </c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49">
        <f t="shared" si="50"/>
        <v>0</v>
      </c>
    </row>
    <row r="319" spans="1:57" ht="15" hidden="1" customHeight="1" x14ac:dyDescent="0.2">
      <c r="A319" s="36">
        <v>308</v>
      </c>
      <c r="B319" s="59"/>
      <c r="C319" s="38"/>
      <c r="D319" s="38" t="e">
        <f>VLOOKUP(C319,Planilha1!$J$2:$L$206,3,)</f>
        <v>#N/A</v>
      </c>
      <c r="E319" s="39"/>
      <c r="F319" s="40"/>
      <c r="G319" s="49"/>
      <c r="H319" s="60">
        <f t="shared" si="43"/>
        <v>0</v>
      </c>
      <c r="I319" s="49">
        <f t="shared" si="44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49">
        <f t="shared" si="45"/>
        <v>0</v>
      </c>
      <c r="V319" s="29">
        <f t="shared" si="46"/>
        <v>0</v>
      </c>
      <c r="W319" s="29">
        <f t="shared" si="47"/>
        <v>0</v>
      </c>
      <c r="X319" s="61">
        <f t="shared" si="48"/>
        <v>0</v>
      </c>
      <c r="Y319" s="61"/>
      <c r="Z319" s="61"/>
      <c r="AA319" s="61"/>
      <c r="AB319" s="61"/>
      <c r="AC319" s="61"/>
      <c r="AD319" s="61"/>
      <c r="AE319" s="49">
        <f t="shared" si="49"/>
        <v>0</v>
      </c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49">
        <f t="shared" si="50"/>
        <v>0</v>
      </c>
    </row>
    <row r="320" spans="1:57" ht="15" hidden="1" customHeight="1" x14ac:dyDescent="0.2">
      <c r="A320" s="36">
        <v>309</v>
      </c>
      <c r="B320" s="59"/>
      <c r="C320" s="38"/>
      <c r="D320" s="38" t="e">
        <f>VLOOKUP(C320,Planilha1!$J$2:$L$206,3,)</f>
        <v>#N/A</v>
      </c>
      <c r="E320" s="39"/>
      <c r="F320" s="40"/>
      <c r="G320" s="49"/>
      <c r="H320" s="60">
        <f t="shared" si="43"/>
        <v>0</v>
      </c>
      <c r="I320" s="49">
        <f t="shared" si="44"/>
        <v>0</v>
      </c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49">
        <f t="shared" si="45"/>
        <v>0</v>
      </c>
      <c r="V320" s="29">
        <f t="shared" si="46"/>
        <v>0</v>
      </c>
      <c r="W320" s="29">
        <f t="shared" si="47"/>
        <v>0</v>
      </c>
      <c r="X320" s="61">
        <f t="shared" si="48"/>
        <v>0</v>
      </c>
      <c r="Y320" s="61"/>
      <c r="Z320" s="61"/>
      <c r="AA320" s="61"/>
      <c r="AB320" s="61"/>
      <c r="AC320" s="61"/>
      <c r="AD320" s="61"/>
      <c r="AE320" s="49">
        <f t="shared" si="49"/>
        <v>0</v>
      </c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49">
        <f t="shared" si="50"/>
        <v>0</v>
      </c>
    </row>
    <row r="321" spans="1:57" ht="15" hidden="1" customHeight="1" x14ac:dyDescent="0.2">
      <c r="A321" s="36">
        <v>310</v>
      </c>
      <c r="B321" s="59"/>
      <c r="C321" s="38"/>
      <c r="D321" s="38" t="e">
        <f>VLOOKUP(C321,Planilha1!$J$2:$L$206,3,)</f>
        <v>#N/A</v>
      </c>
      <c r="E321" s="39"/>
      <c r="F321" s="40"/>
      <c r="G321" s="49"/>
      <c r="H321" s="60">
        <f t="shared" si="43"/>
        <v>0</v>
      </c>
      <c r="I321" s="49">
        <f t="shared" si="44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49">
        <f t="shared" si="45"/>
        <v>0</v>
      </c>
      <c r="V321" s="29">
        <f t="shared" si="46"/>
        <v>0</v>
      </c>
      <c r="W321" s="29">
        <f t="shared" si="47"/>
        <v>0</v>
      </c>
      <c r="X321" s="61">
        <f t="shared" si="48"/>
        <v>0</v>
      </c>
      <c r="Y321" s="61"/>
      <c r="Z321" s="61"/>
      <c r="AA321" s="61"/>
      <c r="AB321" s="61"/>
      <c r="AC321" s="61"/>
      <c r="AD321" s="61"/>
      <c r="AE321" s="49">
        <f t="shared" si="49"/>
        <v>0</v>
      </c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49">
        <f t="shared" si="50"/>
        <v>0</v>
      </c>
    </row>
    <row r="322" spans="1:57" ht="15" hidden="1" customHeight="1" x14ac:dyDescent="0.2">
      <c r="A322" s="36">
        <v>311</v>
      </c>
      <c r="B322" s="59"/>
      <c r="C322" s="38"/>
      <c r="D322" s="38" t="e">
        <f>VLOOKUP(C322,Planilha1!$J$2:$L$206,3,)</f>
        <v>#N/A</v>
      </c>
      <c r="E322" s="39"/>
      <c r="F322" s="40"/>
      <c r="G322" s="49"/>
      <c r="H322" s="60">
        <f t="shared" si="43"/>
        <v>0</v>
      </c>
      <c r="I322" s="49">
        <f t="shared" si="44"/>
        <v>0</v>
      </c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49">
        <f t="shared" si="45"/>
        <v>0</v>
      </c>
      <c r="V322" s="29">
        <f t="shared" si="46"/>
        <v>0</v>
      </c>
      <c r="W322" s="29">
        <f t="shared" si="47"/>
        <v>0</v>
      </c>
      <c r="X322" s="61">
        <f t="shared" si="48"/>
        <v>0</v>
      </c>
      <c r="Y322" s="61"/>
      <c r="Z322" s="61"/>
      <c r="AA322" s="61"/>
      <c r="AB322" s="61"/>
      <c r="AC322" s="61"/>
      <c r="AD322" s="61"/>
      <c r="AE322" s="49">
        <f t="shared" si="49"/>
        <v>0</v>
      </c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49">
        <f t="shared" si="50"/>
        <v>0</v>
      </c>
    </row>
    <row r="323" spans="1:57" ht="15" hidden="1" customHeight="1" x14ac:dyDescent="0.2">
      <c r="A323" s="36">
        <v>312</v>
      </c>
      <c r="B323" s="59"/>
      <c r="C323" s="38"/>
      <c r="D323" s="38" t="e">
        <f>VLOOKUP(C323,Planilha1!$J$2:$L$206,3,)</f>
        <v>#N/A</v>
      </c>
      <c r="E323" s="39"/>
      <c r="F323" s="40"/>
      <c r="G323" s="49"/>
      <c r="H323" s="60">
        <f t="shared" si="43"/>
        <v>0</v>
      </c>
      <c r="I323" s="49">
        <f t="shared" si="44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49">
        <f t="shared" si="45"/>
        <v>0</v>
      </c>
      <c r="V323" s="29">
        <f t="shared" si="46"/>
        <v>0</v>
      </c>
      <c r="W323" s="29">
        <f t="shared" si="47"/>
        <v>0</v>
      </c>
      <c r="X323" s="61">
        <f t="shared" si="48"/>
        <v>0</v>
      </c>
      <c r="Y323" s="61"/>
      <c r="Z323" s="61"/>
      <c r="AA323" s="61"/>
      <c r="AB323" s="61"/>
      <c r="AC323" s="61"/>
      <c r="AD323" s="61"/>
      <c r="AE323" s="49">
        <f t="shared" si="49"/>
        <v>0</v>
      </c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49">
        <f t="shared" si="50"/>
        <v>0</v>
      </c>
    </row>
    <row r="324" spans="1:57" ht="15" hidden="1" customHeight="1" x14ac:dyDescent="0.2">
      <c r="A324" s="36">
        <v>313</v>
      </c>
      <c r="B324" s="59"/>
      <c r="C324" s="38"/>
      <c r="D324" s="38" t="e">
        <f>VLOOKUP(C324,Planilha1!$J$2:$L$206,3,)</f>
        <v>#N/A</v>
      </c>
      <c r="E324" s="39"/>
      <c r="F324" s="40"/>
      <c r="G324" s="49"/>
      <c r="H324" s="60">
        <f t="shared" si="43"/>
        <v>0</v>
      </c>
      <c r="I324" s="49">
        <f t="shared" si="44"/>
        <v>0</v>
      </c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49">
        <f t="shared" si="45"/>
        <v>0</v>
      </c>
      <c r="V324" s="29">
        <f t="shared" si="46"/>
        <v>0</v>
      </c>
      <c r="W324" s="29">
        <f t="shared" si="47"/>
        <v>0</v>
      </c>
      <c r="X324" s="61">
        <f t="shared" si="48"/>
        <v>0</v>
      </c>
      <c r="Y324" s="61"/>
      <c r="Z324" s="61"/>
      <c r="AA324" s="61"/>
      <c r="AB324" s="61"/>
      <c r="AC324" s="61"/>
      <c r="AD324" s="61"/>
      <c r="AE324" s="49">
        <f t="shared" si="49"/>
        <v>0</v>
      </c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49">
        <f t="shared" si="50"/>
        <v>0</v>
      </c>
    </row>
    <row r="325" spans="1:57" ht="15" hidden="1" customHeight="1" x14ac:dyDescent="0.2">
      <c r="A325" s="36">
        <v>314</v>
      </c>
      <c r="B325" s="59"/>
      <c r="C325" s="38"/>
      <c r="D325" s="38" t="e">
        <f>VLOOKUP(C325,Planilha1!$J$2:$L$206,3,)</f>
        <v>#N/A</v>
      </c>
      <c r="E325" s="39"/>
      <c r="F325" s="40"/>
      <c r="G325" s="49"/>
      <c r="H325" s="60">
        <f t="shared" si="43"/>
        <v>0</v>
      </c>
      <c r="I325" s="49">
        <f t="shared" si="44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49">
        <f t="shared" si="45"/>
        <v>0</v>
      </c>
      <c r="V325" s="29">
        <f t="shared" si="46"/>
        <v>0</v>
      </c>
      <c r="W325" s="29">
        <f t="shared" si="47"/>
        <v>0</v>
      </c>
      <c r="X325" s="61">
        <f t="shared" si="48"/>
        <v>0</v>
      </c>
      <c r="Y325" s="61"/>
      <c r="Z325" s="61"/>
      <c r="AA325" s="61"/>
      <c r="AB325" s="61"/>
      <c r="AC325" s="61"/>
      <c r="AD325" s="61"/>
      <c r="AE325" s="49">
        <f t="shared" si="49"/>
        <v>0</v>
      </c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49">
        <f t="shared" si="50"/>
        <v>0</v>
      </c>
    </row>
    <row r="326" spans="1:57" ht="15" hidden="1" customHeight="1" x14ac:dyDescent="0.2">
      <c r="A326" s="36">
        <v>315</v>
      </c>
      <c r="B326" s="59"/>
      <c r="C326" s="38"/>
      <c r="D326" s="38" t="e">
        <f>VLOOKUP(C326,Planilha1!$J$2:$L$206,3,)</f>
        <v>#N/A</v>
      </c>
      <c r="E326" s="39"/>
      <c r="F326" s="40"/>
      <c r="G326" s="49"/>
      <c r="H326" s="60">
        <f t="shared" si="43"/>
        <v>0</v>
      </c>
      <c r="I326" s="49">
        <f t="shared" si="44"/>
        <v>0</v>
      </c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49">
        <f t="shared" si="45"/>
        <v>0</v>
      </c>
      <c r="V326" s="29">
        <f t="shared" si="46"/>
        <v>0</v>
      </c>
      <c r="W326" s="29">
        <f t="shared" si="47"/>
        <v>0</v>
      </c>
      <c r="X326" s="61">
        <f t="shared" si="48"/>
        <v>0</v>
      </c>
      <c r="Y326" s="61"/>
      <c r="Z326" s="61"/>
      <c r="AA326" s="61"/>
      <c r="AB326" s="61"/>
      <c r="AC326" s="61"/>
      <c r="AD326" s="61"/>
      <c r="AE326" s="49">
        <f t="shared" si="49"/>
        <v>0</v>
      </c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49">
        <f t="shared" si="50"/>
        <v>0</v>
      </c>
    </row>
    <row r="327" spans="1:57" ht="15" hidden="1" customHeight="1" x14ac:dyDescent="0.2">
      <c r="A327" s="36">
        <v>316</v>
      </c>
      <c r="B327" s="59"/>
      <c r="C327" s="38"/>
      <c r="D327" s="38" t="e">
        <f>VLOOKUP(C327,Planilha1!$J$2:$L$206,3,)</f>
        <v>#N/A</v>
      </c>
      <c r="E327" s="39"/>
      <c r="F327" s="40"/>
      <c r="G327" s="49"/>
      <c r="H327" s="60">
        <f t="shared" si="43"/>
        <v>0</v>
      </c>
      <c r="I327" s="49">
        <f t="shared" si="44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49">
        <f t="shared" si="45"/>
        <v>0</v>
      </c>
      <c r="V327" s="29">
        <f t="shared" si="46"/>
        <v>0</v>
      </c>
      <c r="W327" s="29">
        <f t="shared" si="47"/>
        <v>0</v>
      </c>
      <c r="X327" s="61">
        <f t="shared" si="48"/>
        <v>0</v>
      </c>
      <c r="Y327" s="61"/>
      <c r="Z327" s="61"/>
      <c r="AA327" s="61"/>
      <c r="AB327" s="61"/>
      <c r="AC327" s="61"/>
      <c r="AD327" s="61"/>
      <c r="AE327" s="49">
        <f t="shared" si="49"/>
        <v>0</v>
      </c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49">
        <f t="shared" si="50"/>
        <v>0</v>
      </c>
    </row>
    <row r="328" spans="1:57" ht="15" hidden="1" customHeight="1" x14ac:dyDescent="0.2">
      <c r="A328" s="36">
        <v>317</v>
      </c>
      <c r="B328" s="59"/>
      <c r="C328" s="38"/>
      <c r="D328" s="38" t="e">
        <f>VLOOKUP(C328,Planilha1!$J$2:$L$206,3,)</f>
        <v>#N/A</v>
      </c>
      <c r="E328" s="39"/>
      <c r="F328" s="40"/>
      <c r="G328" s="49"/>
      <c r="H328" s="60">
        <f t="shared" si="43"/>
        <v>0</v>
      </c>
      <c r="I328" s="49">
        <f t="shared" si="44"/>
        <v>0</v>
      </c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49">
        <f t="shared" si="45"/>
        <v>0</v>
      </c>
      <c r="V328" s="29">
        <f t="shared" si="46"/>
        <v>0</v>
      </c>
      <c r="W328" s="29">
        <f t="shared" si="47"/>
        <v>0</v>
      </c>
      <c r="X328" s="61">
        <f t="shared" si="48"/>
        <v>0</v>
      </c>
      <c r="Y328" s="61"/>
      <c r="Z328" s="61"/>
      <c r="AA328" s="61"/>
      <c r="AB328" s="61"/>
      <c r="AC328" s="61"/>
      <c r="AD328" s="61"/>
      <c r="AE328" s="49">
        <f t="shared" si="49"/>
        <v>0</v>
      </c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49">
        <f t="shared" si="50"/>
        <v>0</v>
      </c>
    </row>
    <row r="329" spans="1:57" ht="15" hidden="1" customHeight="1" x14ac:dyDescent="0.2">
      <c r="A329" s="36">
        <v>318</v>
      </c>
      <c r="B329" s="59"/>
      <c r="C329" s="38"/>
      <c r="D329" s="38" t="e">
        <f>VLOOKUP(C329,Planilha1!$J$2:$L$206,3,)</f>
        <v>#N/A</v>
      </c>
      <c r="E329" s="39"/>
      <c r="F329" s="40"/>
      <c r="G329" s="49"/>
      <c r="H329" s="60">
        <f t="shared" si="43"/>
        <v>0</v>
      </c>
      <c r="I329" s="49">
        <f t="shared" si="44"/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49">
        <f t="shared" si="45"/>
        <v>0</v>
      </c>
      <c r="V329" s="29">
        <f t="shared" si="46"/>
        <v>0</v>
      </c>
      <c r="W329" s="29">
        <f t="shared" si="47"/>
        <v>0</v>
      </c>
      <c r="X329" s="61">
        <f t="shared" si="48"/>
        <v>0</v>
      </c>
      <c r="Y329" s="61"/>
      <c r="Z329" s="61"/>
      <c r="AA329" s="61"/>
      <c r="AB329" s="61"/>
      <c r="AC329" s="61"/>
      <c r="AD329" s="61"/>
      <c r="AE329" s="49">
        <f t="shared" si="49"/>
        <v>0</v>
      </c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49">
        <f t="shared" si="50"/>
        <v>0</v>
      </c>
    </row>
    <row r="330" spans="1:57" ht="15" hidden="1" customHeight="1" x14ac:dyDescent="0.2">
      <c r="A330" s="36">
        <v>319</v>
      </c>
      <c r="B330" s="59"/>
      <c r="C330" s="38"/>
      <c r="D330" s="38" t="e">
        <f>VLOOKUP(C330,Planilha1!$J$2:$L$206,3,)</f>
        <v>#N/A</v>
      </c>
      <c r="E330" s="39"/>
      <c r="F330" s="40"/>
      <c r="G330" s="49"/>
      <c r="H330" s="60">
        <f t="shared" si="43"/>
        <v>0</v>
      </c>
      <c r="I330" s="49">
        <f t="shared" si="44"/>
        <v>0</v>
      </c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49">
        <f t="shared" si="45"/>
        <v>0</v>
      </c>
      <c r="V330" s="29">
        <f t="shared" si="46"/>
        <v>0</v>
      </c>
      <c r="W330" s="29">
        <f t="shared" si="47"/>
        <v>0</v>
      </c>
      <c r="X330" s="61">
        <f t="shared" si="48"/>
        <v>0</v>
      </c>
      <c r="Y330" s="61"/>
      <c r="Z330" s="61"/>
      <c r="AA330" s="61"/>
      <c r="AB330" s="61"/>
      <c r="AC330" s="61"/>
      <c r="AD330" s="61"/>
      <c r="AE330" s="49">
        <f t="shared" si="49"/>
        <v>0</v>
      </c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49">
        <f t="shared" si="50"/>
        <v>0</v>
      </c>
    </row>
    <row r="331" spans="1:57" ht="15" hidden="1" customHeight="1" x14ac:dyDescent="0.2">
      <c r="A331" s="36">
        <v>320</v>
      </c>
      <c r="B331" s="59"/>
      <c r="C331" s="38"/>
      <c r="D331" s="38" t="e">
        <f>VLOOKUP(C331,Planilha1!$J$2:$L$206,3,)</f>
        <v>#N/A</v>
      </c>
      <c r="E331" s="39"/>
      <c r="F331" s="40"/>
      <c r="G331" s="49"/>
      <c r="H331" s="60">
        <f t="shared" si="43"/>
        <v>0</v>
      </c>
      <c r="I331" s="49">
        <f t="shared" si="44"/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49">
        <f t="shared" si="45"/>
        <v>0</v>
      </c>
      <c r="V331" s="29">
        <f t="shared" si="46"/>
        <v>0</v>
      </c>
      <c r="W331" s="29">
        <f t="shared" si="47"/>
        <v>0</v>
      </c>
      <c r="X331" s="61">
        <f t="shared" si="48"/>
        <v>0</v>
      </c>
      <c r="Y331" s="61"/>
      <c r="Z331" s="61"/>
      <c r="AA331" s="61"/>
      <c r="AB331" s="61"/>
      <c r="AC331" s="61"/>
      <c r="AD331" s="61"/>
      <c r="AE331" s="49">
        <f t="shared" si="49"/>
        <v>0</v>
      </c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49">
        <f t="shared" si="50"/>
        <v>0</v>
      </c>
    </row>
    <row r="332" spans="1:57" ht="15" hidden="1" customHeight="1" x14ac:dyDescent="0.2">
      <c r="A332" s="36">
        <v>321</v>
      </c>
      <c r="B332" s="59"/>
      <c r="C332" s="38"/>
      <c r="D332" s="38" t="e">
        <f>VLOOKUP(C332,Planilha1!$J$2:$L$206,3,)</f>
        <v>#N/A</v>
      </c>
      <c r="E332" s="39"/>
      <c r="F332" s="40"/>
      <c r="G332" s="49"/>
      <c r="H332" s="60">
        <f t="shared" si="43"/>
        <v>0</v>
      </c>
      <c r="I332" s="49">
        <f t="shared" si="44"/>
        <v>0</v>
      </c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49">
        <f t="shared" si="45"/>
        <v>0</v>
      </c>
      <c r="V332" s="29">
        <f t="shared" si="46"/>
        <v>0</v>
      </c>
      <c r="W332" s="29">
        <f t="shared" si="47"/>
        <v>0</v>
      </c>
      <c r="X332" s="61">
        <f t="shared" si="48"/>
        <v>0</v>
      </c>
      <c r="Y332" s="61"/>
      <c r="Z332" s="61"/>
      <c r="AA332" s="61"/>
      <c r="AB332" s="61"/>
      <c r="AC332" s="61"/>
      <c r="AD332" s="61"/>
      <c r="AE332" s="49">
        <f t="shared" si="49"/>
        <v>0</v>
      </c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49">
        <f t="shared" si="50"/>
        <v>0</v>
      </c>
    </row>
    <row r="333" spans="1:57" ht="15" hidden="1" customHeight="1" x14ac:dyDescent="0.2">
      <c r="A333" s="36">
        <v>322</v>
      </c>
      <c r="B333" s="59"/>
      <c r="C333" s="38"/>
      <c r="D333" s="38" t="e">
        <f>VLOOKUP(C333,Planilha1!$J$2:$L$206,3,)</f>
        <v>#N/A</v>
      </c>
      <c r="E333" s="39"/>
      <c r="F333" s="40"/>
      <c r="G333" s="49"/>
      <c r="H333" s="60">
        <f t="shared" si="43"/>
        <v>0</v>
      </c>
      <c r="I333" s="49">
        <f t="shared" si="44"/>
        <v>0</v>
      </c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49">
        <f t="shared" si="45"/>
        <v>0</v>
      </c>
      <c r="V333" s="29">
        <f t="shared" si="46"/>
        <v>0</v>
      </c>
      <c r="W333" s="29">
        <f t="shared" si="47"/>
        <v>0</v>
      </c>
      <c r="X333" s="61">
        <f t="shared" si="48"/>
        <v>0</v>
      </c>
      <c r="Y333" s="61"/>
      <c r="Z333" s="61"/>
      <c r="AA333" s="61"/>
      <c r="AB333" s="61"/>
      <c r="AC333" s="61"/>
      <c r="AD333" s="61"/>
      <c r="AE333" s="49">
        <f t="shared" si="49"/>
        <v>0</v>
      </c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49">
        <f t="shared" si="50"/>
        <v>0</v>
      </c>
    </row>
    <row r="334" spans="1:57" ht="15" hidden="1" customHeight="1" x14ac:dyDescent="0.2">
      <c r="A334" s="36">
        <v>323</v>
      </c>
      <c r="B334" s="59"/>
      <c r="C334" s="38"/>
      <c r="D334" s="38" t="e">
        <f>VLOOKUP(C334,Planilha1!$J$2:$L$206,3,)</f>
        <v>#N/A</v>
      </c>
      <c r="E334" s="39"/>
      <c r="F334" s="40"/>
      <c r="G334" s="49"/>
      <c r="H334" s="60">
        <f t="shared" si="43"/>
        <v>0</v>
      </c>
      <c r="I334" s="49">
        <f t="shared" si="44"/>
        <v>0</v>
      </c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49">
        <f t="shared" si="45"/>
        <v>0</v>
      </c>
      <c r="V334" s="29">
        <f t="shared" si="46"/>
        <v>0</v>
      </c>
      <c r="W334" s="29">
        <f t="shared" si="47"/>
        <v>0</v>
      </c>
      <c r="X334" s="61">
        <f t="shared" si="48"/>
        <v>0</v>
      </c>
      <c r="Y334" s="61"/>
      <c r="Z334" s="61"/>
      <c r="AA334" s="61"/>
      <c r="AB334" s="61"/>
      <c r="AC334" s="61"/>
      <c r="AD334" s="61"/>
      <c r="AE334" s="49">
        <f t="shared" si="49"/>
        <v>0</v>
      </c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49">
        <f t="shared" si="50"/>
        <v>0</v>
      </c>
    </row>
    <row r="335" spans="1:57" ht="15" hidden="1" customHeight="1" x14ac:dyDescent="0.2">
      <c r="A335" s="36">
        <v>324</v>
      </c>
      <c r="B335" s="59"/>
      <c r="C335" s="38"/>
      <c r="D335" s="38" t="e">
        <f>VLOOKUP(C335,Planilha1!$J$2:$L$206,3,)</f>
        <v>#N/A</v>
      </c>
      <c r="E335" s="39"/>
      <c r="F335" s="40"/>
      <c r="G335" s="49"/>
      <c r="H335" s="60">
        <f t="shared" si="43"/>
        <v>0</v>
      </c>
      <c r="I335" s="49">
        <f t="shared" si="44"/>
        <v>0</v>
      </c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49">
        <f t="shared" si="45"/>
        <v>0</v>
      </c>
      <c r="V335" s="29">
        <f t="shared" si="46"/>
        <v>0</v>
      </c>
      <c r="W335" s="29">
        <f t="shared" si="47"/>
        <v>0</v>
      </c>
      <c r="X335" s="61">
        <f t="shared" si="48"/>
        <v>0</v>
      </c>
      <c r="Y335" s="61"/>
      <c r="Z335" s="61"/>
      <c r="AA335" s="61"/>
      <c r="AB335" s="61"/>
      <c r="AC335" s="61"/>
      <c r="AD335" s="61"/>
      <c r="AE335" s="49">
        <f t="shared" si="49"/>
        <v>0</v>
      </c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49">
        <f t="shared" si="50"/>
        <v>0</v>
      </c>
    </row>
    <row r="336" spans="1:57" ht="15" hidden="1" customHeight="1" x14ac:dyDescent="0.2">
      <c r="A336" s="36">
        <v>325</v>
      </c>
      <c r="B336" s="59"/>
      <c r="C336" s="38"/>
      <c r="D336" s="38" t="e">
        <f>VLOOKUP(C336,Planilha1!$J$2:$L$206,3,)</f>
        <v>#N/A</v>
      </c>
      <c r="E336" s="39"/>
      <c r="F336" s="40"/>
      <c r="G336" s="49"/>
      <c r="H336" s="60">
        <f t="shared" si="43"/>
        <v>0</v>
      </c>
      <c r="I336" s="49">
        <f t="shared" si="44"/>
        <v>0</v>
      </c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49">
        <f t="shared" si="45"/>
        <v>0</v>
      </c>
      <c r="V336" s="29">
        <f t="shared" si="46"/>
        <v>0</v>
      </c>
      <c r="W336" s="29">
        <f t="shared" si="47"/>
        <v>0</v>
      </c>
      <c r="X336" s="61">
        <f t="shared" si="48"/>
        <v>0</v>
      </c>
      <c r="Y336" s="61"/>
      <c r="Z336" s="61"/>
      <c r="AA336" s="61"/>
      <c r="AB336" s="61"/>
      <c r="AC336" s="61"/>
      <c r="AD336" s="61"/>
      <c r="AE336" s="49">
        <f t="shared" si="49"/>
        <v>0</v>
      </c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49">
        <f t="shared" si="50"/>
        <v>0</v>
      </c>
    </row>
    <row r="337" spans="1:57" ht="15" hidden="1" customHeight="1" x14ac:dyDescent="0.2">
      <c r="A337" s="36">
        <v>326</v>
      </c>
      <c r="B337" s="59"/>
      <c r="C337" s="38"/>
      <c r="D337" s="38" t="e">
        <f>VLOOKUP(C337,Planilha1!$J$2:$L$206,3,)</f>
        <v>#N/A</v>
      </c>
      <c r="E337" s="39"/>
      <c r="F337" s="40"/>
      <c r="G337" s="49"/>
      <c r="H337" s="60">
        <f t="shared" si="43"/>
        <v>0</v>
      </c>
      <c r="I337" s="49">
        <f t="shared" si="44"/>
        <v>0</v>
      </c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49">
        <f t="shared" si="45"/>
        <v>0</v>
      </c>
      <c r="V337" s="29">
        <f t="shared" si="46"/>
        <v>0</v>
      </c>
      <c r="W337" s="29">
        <f t="shared" si="47"/>
        <v>0</v>
      </c>
      <c r="X337" s="61">
        <f t="shared" si="48"/>
        <v>0</v>
      </c>
      <c r="Y337" s="61"/>
      <c r="Z337" s="61"/>
      <c r="AA337" s="61"/>
      <c r="AB337" s="61"/>
      <c r="AC337" s="61"/>
      <c r="AD337" s="61"/>
      <c r="AE337" s="49">
        <f t="shared" si="49"/>
        <v>0</v>
      </c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49">
        <f t="shared" si="50"/>
        <v>0</v>
      </c>
    </row>
    <row r="338" spans="1:57" ht="15" hidden="1" customHeight="1" x14ac:dyDescent="0.2">
      <c r="A338" s="36">
        <v>327</v>
      </c>
      <c r="B338" s="59"/>
      <c r="C338" s="38"/>
      <c r="D338" s="38" t="e">
        <f>VLOOKUP(C338,Planilha1!$J$2:$L$206,3,)</f>
        <v>#N/A</v>
      </c>
      <c r="E338" s="39"/>
      <c r="F338" s="40"/>
      <c r="G338" s="49"/>
      <c r="H338" s="60">
        <f t="shared" si="43"/>
        <v>0</v>
      </c>
      <c r="I338" s="49">
        <f t="shared" si="44"/>
        <v>0</v>
      </c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49">
        <f t="shared" si="45"/>
        <v>0</v>
      </c>
      <c r="V338" s="29">
        <f t="shared" si="46"/>
        <v>0</v>
      </c>
      <c r="W338" s="29">
        <f t="shared" si="47"/>
        <v>0</v>
      </c>
      <c r="X338" s="61">
        <f t="shared" si="48"/>
        <v>0</v>
      </c>
      <c r="Y338" s="61"/>
      <c r="Z338" s="61"/>
      <c r="AA338" s="61"/>
      <c r="AB338" s="61"/>
      <c r="AC338" s="61"/>
      <c r="AD338" s="61"/>
      <c r="AE338" s="49">
        <f t="shared" si="49"/>
        <v>0</v>
      </c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49">
        <f t="shared" si="50"/>
        <v>0</v>
      </c>
    </row>
    <row r="339" spans="1:57" ht="15" hidden="1" customHeight="1" x14ac:dyDescent="0.2">
      <c r="A339" s="36">
        <v>328</v>
      </c>
      <c r="B339" s="59"/>
      <c r="C339" s="38"/>
      <c r="D339" s="38" t="e">
        <f>VLOOKUP(C339,Planilha1!$J$2:$L$206,3,)</f>
        <v>#N/A</v>
      </c>
      <c r="E339" s="39"/>
      <c r="F339" s="40"/>
      <c r="G339" s="49"/>
      <c r="H339" s="60">
        <f t="shared" si="43"/>
        <v>0</v>
      </c>
      <c r="I339" s="49">
        <f t="shared" si="44"/>
        <v>0</v>
      </c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49">
        <f t="shared" si="45"/>
        <v>0</v>
      </c>
      <c r="V339" s="29">
        <f t="shared" si="46"/>
        <v>0</v>
      </c>
      <c r="W339" s="29">
        <f t="shared" si="47"/>
        <v>0</v>
      </c>
      <c r="X339" s="61">
        <f t="shared" si="48"/>
        <v>0</v>
      </c>
      <c r="Y339" s="61"/>
      <c r="Z339" s="61"/>
      <c r="AA339" s="61"/>
      <c r="AB339" s="61"/>
      <c r="AC339" s="61"/>
      <c r="AD339" s="61"/>
      <c r="AE339" s="49">
        <f t="shared" si="49"/>
        <v>0</v>
      </c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49">
        <f t="shared" si="50"/>
        <v>0</v>
      </c>
    </row>
    <row r="340" spans="1:57" ht="15" hidden="1" customHeight="1" x14ac:dyDescent="0.2">
      <c r="A340" s="36">
        <v>329</v>
      </c>
      <c r="B340" s="59"/>
      <c r="C340" s="38"/>
      <c r="D340" s="38" t="e">
        <f>VLOOKUP(C340,Planilha1!$J$2:$L$206,3,)</f>
        <v>#N/A</v>
      </c>
      <c r="E340" s="39"/>
      <c r="F340" s="40"/>
      <c r="G340" s="49"/>
      <c r="H340" s="60">
        <f t="shared" si="43"/>
        <v>0</v>
      </c>
      <c r="I340" s="49">
        <f t="shared" si="44"/>
        <v>0</v>
      </c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49">
        <f t="shared" si="45"/>
        <v>0</v>
      </c>
      <c r="V340" s="29">
        <f t="shared" si="46"/>
        <v>0</v>
      </c>
      <c r="W340" s="29">
        <f t="shared" si="47"/>
        <v>0</v>
      </c>
      <c r="X340" s="61">
        <f t="shared" si="48"/>
        <v>0</v>
      </c>
      <c r="Y340" s="61"/>
      <c r="Z340" s="61"/>
      <c r="AA340" s="61"/>
      <c r="AB340" s="61"/>
      <c r="AC340" s="61"/>
      <c r="AD340" s="61"/>
      <c r="AE340" s="49">
        <f t="shared" si="49"/>
        <v>0</v>
      </c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49">
        <f t="shared" si="50"/>
        <v>0</v>
      </c>
    </row>
    <row r="341" spans="1:57" ht="15" hidden="1" customHeight="1" x14ac:dyDescent="0.2">
      <c r="A341" s="36">
        <v>330</v>
      </c>
      <c r="B341" s="59"/>
      <c r="C341" s="38"/>
      <c r="D341" s="38" t="e">
        <f>VLOOKUP(C341,Planilha1!$J$2:$L$206,3,)</f>
        <v>#N/A</v>
      </c>
      <c r="E341" s="39"/>
      <c r="F341" s="40"/>
      <c r="G341" s="49"/>
      <c r="H341" s="60">
        <f t="shared" si="43"/>
        <v>0</v>
      </c>
      <c r="I341" s="49">
        <f t="shared" si="44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49">
        <f t="shared" si="45"/>
        <v>0</v>
      </c>
      <c r="V341" s="29">
        <f t="shared" si="46"/>
        <v>0</v>
      </c>
      <c r="W341" s="29">
        <f t="shared" si="47"/>
        <v>0</v>
      </c>
      <c r="X341" s="61">
        <f t="shared" si="48"/>
        <v>0</v>
      </c>
      <c r="Y341" s="61"/>
      <c r="Z341" s="61"/>
      <c r="AA341" s="61"/>
      <c r="AB341" s="61"/>
      <c r="AC341" s="61"/>
      <c r="AD341" s="61"/>
      <c r="AE341" s="49">
        <f t="shared" si="49"/>
        <v>0</v>
      </c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49">
        <f t="shared" si="50"/>
        <v>0</v>
      </c>
    </row>
    <row r="342" spans="1:57" ht="15" hidden="1" customHeight="1" x14ac:dyDescent="0.2">
      <c r="A342" s="36">
        <v>331</v>
      </c>
      <c r="B342" s="59"/>
      <c r="C342" s="38"/>
      <c r="D342" s="38" t="e">
        <f>VLOOKUP(C342,Planilha1!$J$2:$L$206,3,)</f>
        <v>#N/A</v>
      </c>
      <c r="E342" s="39"/>
      <c r="F342" s="40"/>
      <c r="G342" s="49"/>
      <c r="H342" s="60">
        <f t="shared" si="43"/>
        <v>0</v>
      </c>
      <c r="I342" s="49">
        <f t="shared" si="44"/>
        <v>0</v>
      </c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49">
        <f t="shared" si="45"/>
        <v>0</v>
      </c>
      <c r="V342" s="29">
        <f t="shared" si="46"/>
        <v>0</v>
      </c>
      <c r="W342" s="29">
        <f t="shared" si="47"/>
        <v>0</v>
      </c>
      <c r="X342" s="61">
        <f t="shared" si="48"/>
        <v>0</v>
      </c>
      <c r="Y342" s="61"/>
      <c r="Z342" s="61"/>
      <c r="AA342" s="61"/>
      <c r="AB342" s="61"/>
      <c r="AC342" s="61"/>
      <c r="AD342" s="61"/>
      <c r="AE342" s="49">
        <f t="shared" si="49"/>
        <v>0</v>
      </c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49">
        <f t="shared" si="50"/>
        <v>0</v>
      </c>
    </row>
    <row r="343" spans="1:57" ht="15" hidden="1" customHeight="1" x14ac:dyDescent="0.2">
      <c r="A343" s="36">
        <v>332</v>
      </c>
      <c r="B343" s="59"/>
      <c r="C343" s="38"/>
      <c r="D343" s="38" t="e">
        <f>VLOOKUP(C343,Planilha1!$J$2:$L$206,3,)</f>
        <v>#N/A</v>
      </c>
      <c r="E343" s="39"/>
      <c r="F343" s="40"/>
      <c r="G343" s="49"/>
      <c r="H343" s="60">
        <f t="shared" si="43"/>
        <v>0</v>
      </c>
      <c r="I343" s="49">
        <f t="shared" si="44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49">
        <f t="shared" si="45"/>
        <v>0</v>
      </c>
      <c r="V343" s="29">
        <f t="shared" si="46"/>
        <v>0</v>
      </c>
      <c r="W343" s="29">
        <f t="shared" si="47"/>
        <v>0</v>
      </c>
      <c r="X343" s="61">
        <f t="shared" si="48"/>
        <v>0</v>
      </c>
      <c r="Y343" s="61"/>
      <c r="Z343" s="61"/>
      <c r="AA343" s="61"/>
      <c r="AB343" s="61"/>
      <c r="AC343" s="61"/>
      <c r="AD343" s="61"/>
      <c r="AE343" s="49">
        <f t="shared" si="49"/>
        <v>0</v>
      </c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49">
        <f t="shared" si="50"/>
        <v>0</v>
      </c>
    </row>
    <row r="344" spans="1:57" ht="15" hidden="1" customHeight="1" x14ac:dyDescent="0.2">
      <c r="A344" s="36">
        <v>333</v>
      </c>
      <c r="B344" s="59"/>
      <c r="C344" s="38"/>
      <c r="D344" s="38" t="e">
        <f>VLOOKUP(C344,Planilha1!$J$2:$L$206,3,)</f>
        <v>#N/A</v>
      </c>
      <c r="E344" s="39"/>
      <c r="F344" s="40"/>
      <c r="G344" s="49"/>
      <c r="H344" s="60">
        <f t="shared" si="43"/>
        <v>0</v>
      </c>
      <c r="I344" s="49">
        <f t="shared" si="44"/>
        <v>0</v>
      </c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49">
        <f t="shared" si="45"/>
        <v>0</v>
      </c>
      <c r="V344" s="29">
        <f t="shared" si="46"/>
        <v>0</v>
      </c>
      <c r="W344" s="29">
        <f t="shared" si="47"/>
        <v>0</v>
      </c>
      <c r="X344" s="61">
        <f t="shared" si="48"/>
        <v>0</v>
      </c>
      <c r="Y344" s="61"/>
      <c r="Z344" s="61"/>
      <c r="AA344" s="61"/>
      <c r="AB344" s="61"/>
      <c r="AC344" s="61"/>
      <c r="AD344" s="61"/>
      <c r="AE344" s="49">
        <f t="shared" si="49"/>
        <v>0</v>
      </c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49">
        <f t="shared" si="50"/>
        <v>0</v>
      </c>
    </row>
    <row r="345" spans="1:57" ht="15" hidden="1" customHeight="1" x14ac:dyDescent="0.2">
      <c r="A345" s="36">
        <v>334</v>
      </c>
      <c r="B345" s="59"/>
      <c r="C345" s="38"/>
      <c r="D345" s="38" t="e">
        <f>VLOOKUP(C345,Planilha1!$J$2:$L$206,3,)</f>
        <v>#N/A</v>
      </c>
      <c r="E345" s="39"/>
      <c r="F345" s="40"/>
      <c r="G345" s="49"/>
      <c r="H345" s="60">
        <f t="shared" si="43"/>
        <v>0</v>
      </c>
      <c r="I345" s="49">
        <f t="shared" si="44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49">
        <f t="shared" si="45"/>
        <v>0</v>
      </c>
      <c r="V345" s="29">
        <f t="shared" si="46"/>
        <v>0</v>
      </c>
      <c r="W345" s="29">
        <f t="shared" si="47"/>
        <v>0</v>
      </c>
      <c r="X345" s="61">
        <f t="shared" si="48"/>
        <v>0</v>
      </c>
      <c r="Y345" s="61"/>
      <c r="Z345" s="61"/>
      <c r="AA345" s="61"/>
      <c r="AB345" s="61"/>
      <c r="AC345" s="61"/>
      <c r="AD345" s="61"/>
      <c r="AE345" s="49">
        <f t="shared" si="49"/>
        <v>0</v>
      </c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49">
        <f t="shared" si="50"/>
        <v>0</v>
      </c>
    </row>
    <row r="346" spans="1:57" ht="15" hidden="1" customHeight="1" x14ac:dyDescent="0.2">
      <c r="A346" s="36">
        <v>335</v>
      </c>
      <c r="B346" s="59"/>
      <c r="C346" s="38"/>
      <c r="D346" s="38" t="e">
        <f>VLOOKUP(C346,Planilha1!$J$2:$L$206,3,)</f>
        <v>#N/A</v>
      </c>
      <c r="E346" s="39"/>
      <c r="F346" s="40"/>
      <c r="G346" s="49"/>
      <c r="H346" s="60">
        <f t="shared" si="43"/>
        <v>0</v>
      </c>
      <c r="I346" s="49">
        <f t="shared" si="44"/>
        <v>0</v>
      </c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49">
        <f t="shared" si="45"/>
        <v>0</v>
      </c>
      <c r="V346" s="29">
        <f t="shared" si="46"/>
        <v>0</v>
      </c>
      <c r="W346" s="29">
        <f t="shared" si="47"/>
        <v>0</v>
      </c>
      <c r="X346" s="61">
        <f t="shared" si="48"/>
        <v>0</v>
      </c>
      <c r="Y346" s="61"/>
      <c r="Z346" s="61"/>
      <c r="AA346" s="61"/>
      <c r="AB346" s="61"/>
      <c r="AC346" s="61"/>
      <c r="AD346" s="61"/>
      <c r="AE346" s="49">
        <f t="shared" si="49"/>
        <v>0</v>
      </c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49">
        <f t="shared" si="50"/>
        <v>0</v>
      </c>
    </row>
    <row r="347" spans="1:57" ht="15" hidden="1" customHeight="1" x14ac:dyDescent="0.2">
      <c r="A347" s="36">
        <v>336</v>
      </c>
      <c r="B347" s="59"/>
      <c r="C347" s="38"/>
      <c r="D347" s="38" t="e">
        <f>VLOOKUP(C347,Planilha1!$J$2:$L$206,3,)</f>
        <v>#N/A</v>
      </c>
      <c r="E347" s="39"/>
      <c r="F347" s="40"/>
      <c r="G347" s="49"/>
      <c r="H347" s="60">
        <f t="shared" si="43"/>
        <v>0</v>
      </c>
      <c r="I347" s="49">
        <f t="shared" si="44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49">
        <f t="shared" si="45"/>
        <v>0</v>
      </c>
      <c r="V347" s="29">
        <f t="shared" si="46"/>
        <v>0</v>
      </c>
      <c r="W347" s="29">
        <f t="shared" si="47"/>
        <v>0</v>
      </c>
      <c r="X347" s="61">
        <f t="shared" si="48"/>
        <v>0</v>
      </c>
      <c r="Y347" s="61"/>
      <c r="Z347" s="61"/>
      <c r="AA347" s="61"/>
      <c r="AB347" s="61"/>
      <c r="AC347" s="61"/>
      <c r="AD347" s="61"/>
      <c r="AE347" s="49">
        <f t="shared" si="49"/>
        <v>0</v>
      </c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49">
        <f t="shared" si="50"/>
        <v>0</v>
      </c>
    </row>
    <row r="348" spans="1:57" ht="15" hidden="1" customHeight="1" x14ac:dyDescent="0.2">
      <c r="A348" s="36">
        <v>337</v>
      </c>
      <c r="B348" s="59"/>
      <c r="C348" s="38"/>
      <c r="D348" s="38" t="e">
        <f>VLOOKUP(C348,Planilha1!$J$2:$L$206,3,)</f>
        <v>#N/A</v>
      </c>
      <c r="E348" s="39"/>
      <c r="F348" s="40"/>
      <c r="G348" s="49"/>
      <c r="H348" s="60">
        <f t="shared" si="43"/>
        <v>0</v>
      </c>
      <c r="I348" s="49">
        <f t="shared" si="44"/>
        <v>0</v>
      </c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49">
        <f t="shared" si="45"/>
        <v>0</v>
      </c>
      <c r="V348" s="29">
        <f t="shared" si="46"/>
        <v>0</v>
      </c>
      <c r="W348" s="29">
        <f t="shared" si="47"/>
        <v>0</v>
      </c>
      <c r="X348" s="61">
        <f t="shared" si="48"/>
        <v>0</v>
      </c>
      <c r="Y348" s="61"/>
      <c r="Z348" s="61"/>
      <c r="AA348" s="61"/>
      <c r="AB348" s="61"/>
      <c r="AC348" s="61"/>
      <c r="AD348" s="61"/>
      <c r="AE348" s="49">
        <f t="shared" si="49"/>
        <v>0</v>
      </c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49">
        <f t="shared" si="50"/>
        <v>0</v>
      </c>
    </row>
    <row r="349" spans="1:57" ht="15" hidden="1" customHeight="1" x14ac:dyDescent="0.2">
      <c r="A349" s="36">
        <v>338</v>
      </c>
      <c r="B349" s="59"/>
      <c r="C349" s="38"/>
      <c r="D349" s="38" t="e">
        <f>VLOOKUP(C349,Planilha1!$J$2:$L$206,3,)</f>
        <v>#N/A</v>
      </c>
      <c r="E349" s="39"/>
      <c r="F349" s="40"/>
      <c r="G349" s="49"/>
      <c r="H349" s="60">
        <f t="shared" si="43"/>
        <v>0</v>
      </c>
      <c r="I349" s="49">
        <f t="shared" si="44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49">
        <f t="shared" si="45"/>
        <v>0</v>
      </c>
      <c r="V349" s="29">
        <f t="shared" si="46"/>
        <v>0</v>
      </c>
      <c r="W349" s="29">
        <f t="shared" si="47"/>
        <v>0</v>
      </c>
      <c r="X349" s="61">
        <f t="shared" si="48"/>
        <v>0</v>
      </c>
      <c r="Y349" s="61"/>
      <c r="Z349" s="61"/>
      <c r="AA349" s="61"/>
      <c r="AB349" s="61"/>
      <c r="AC349" s="61"/>
      <c r="AD349" s="61"/>
      <c r="AE349" s="49">
        <f t="shared" si="49"/>
        <v>0</v>
      </c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49">
        <f t="shared" si="50"/>
        <v>0</v>
      </c>
    </row>
    <row r="350" spans="1:57" ht="15" hidden="1" customHeight="1" x14ac:dyDescent="0.2">
      <c r="A350" s="36">
        <v>339</v>
      </c>
      <c r="B350" s="59"/>
      <c r="C350" s="38"/>
      <c r="D350" s="38" t="e">
        <f>VLOOKUP(C350,Planilha1!$J$2:$L$206,3,)</f>
        <v>#N/A</v>
      </c>
      <c r="E350" s="39"/>
      <c r="F350" s="40"/>
      <c r="G350" s="49"/>
      <c r="H350" s="60">
        <f t="shared" si="43"/>
        <v>0</v>
      </c>
      <c r="I350" s="49">
        <f t="shared" si="44"/>
        <v>0</v>
      </c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49">
        <f t="shared" si="45"/>
        <v>0</v>
      </c>
      <c r="V350" s="29">
        <f t="shared" si="46"/>
        <v>0</v>
      </c>
      <c r="W350" s="29">
        <f t="shared" si="47"/>
        <v>0</v>
      </c>
      <c r="X350" s="61">
        <f t="shared" si="48"/>
        <v>0</v>
      </c>
      <c r="Y350" s="61"/>
      <c r="Z350" s="61"/>
      <c r="AA350" s="61"/>
      <c r="AB350" s="61"/>
      <c r="AC350" s="61"/>
      <c r="AD350" s="61"/>
      <c r="AE350" s="49">
        <f t="shared" si="49"/>
        <v>0</v>
      </c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49">
        <f t="shared" si="50"/>
        <v>0</v>
      </c>
    </row>
    <row r="351" spans="1:57" ht="15" hidden="1" customHeight="1" x14ac:dyDescent="0.2">
      <c r="A351" s="36">
        <v>340</v>
      </c>
      <c r="B351" s="59"/>
      <c r="C351" s="38"/>
      <c r="D351" s="38" t="e">
        <f>VLOOKUP(C351,Planilha1!$J$2:$L$206,3,)</f>
        <v>#N/A</v>
      </c>
      <c r="E351" s="39"/>
      <c r="F351" s="40"/>
      <c r="G351" s="49"/>
      <c r="H351" s="60">
        <f t="shared" si="43"/>
        <v>0</v>
      </c>
      <c r="I351" s="49">
        <f t="shared" si="44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49">
        <f t="shared" si="45"/>
        <v>0</v>
      </c>
      <c r="V351" s="29">
        <f t="shared" si="46"/>
        <v>0</v>
      </c>
      <c r="W351" s="29">
        <f t="shared" si="47"/>
        <v>0</v>
      </c>
      <c r="X351" s="61">
        <f t="shared" si="48"/>
        <v>0</v>
      </c>
      <c r="Y351" s="61"/>
      <c r="Z351" s="61"/>
      <c r="AA351" s="61"/>
      <c r="AB351" s="61"/>
      <c r="AC351" s="61"/>
      <c r="AD351" s="61"/>
      <c r="AE351" s="49">
        <f t="shared" si="49"/>
        <v>0</v>
      </c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49">
        <f t="shared" si="50"/>
        <v>0</v>
      </c>
    </row>
    <row r="352" spans="1:57" ht="15" hidden="1" customHeight="1" x14ac:dyDescent="0.2">
      <c r="A352" s="36">
        <v>341</v>
      </c>
      <c r="B352" s="59"/>
      <c r="C352" s="38"/>
      <c r="D352" s="38" t="e">
        <f>VLOOKUP(C352,Planilha1!$J$2:$L$206,3,)</f>
        <v>#N/A</v>
      </c>
      <c r="E352" s="39"/>
      <c r="F352" s="40"/>
      <c r="G352" s="49"/>
      <c r="H352" s="60">
        <f t="shared" si="43"/>
        <v>0</v>
      </c>
      <c r="I352" s="49">
        <f t="shared" si="44"/>
        <v>0</v>
      </c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49">
        <f t="shared" si="45"/>
        <v>0</v>
      </c>
      <c r="V352" s="29">
        <f t="shared" si="46"/>
        <v>0</v>
      </c>
      <c r="W352" s="29">
        <f t="shared" si="47"/>
        <v>0</v>
      </c>
      <c r="X352" s="61">
        <f t="shared" si="48"/>
        <v>0</v>
      </c>
      <c r="Y352" s="61"/>
      <c r="Z352" s="61"/>
      <c r="AA352" s="61"/>
      <c r="AB352" s="61"/>
      <c r="AC352" s="61"/>
      <c r="AD352" s="61"/>
      <c r="AE352" s="49">
        <f t="shared" si="49"/>
        <v>0</v>
      </c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49">
        <f t="shared" si="50"/>
        <v>0</v>
      </c>
    </row>
    <row r="353" spans="1:57" ht="15" hidden="1" customHeight="1" x14ac:dyDescent="0.2">
      <c r="A353" s="36">
        <v>342</v>
      </c>
      <c r="B353" s="59"/>
      <c r="C353" s="38"/>
      <c r="D353" s="38" t="e">
        <f>VLOOKUP(C353,Planilha1!$J$2:$L$206,3,)</f>
        <v>#N/A</v>
      </c>
      <c r="E353" s="39"/>
      <c r="F353" s="40"/>
      <c r="G353" s="49"/>
      <c r="H353" s="60">
        <f t="shared" si="43"/>
        <v>0</v>
      </c>
      <c r="I353" s="49">
        <f t="shared" si="44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49">
        <f t="shared" si="45"/>
        <v>0</v>
      </c>
      <c r="V353" s="29">
        <f t="shared" si="46"/>
        <v>0</v>
      </c>
      <c r="W353" s="29">
        <f t="shared" si="47"/>
        <v>0</v>
      </c>
      <c r="X353" s="61">
        <f t="shared" si="48"/>
        <v>0</v>
      </c>
      <c r="Y353" s="61"/>
      <c r="Z353" s="61"/>
      <c r="AA353" s="61"/>
      <c r="AB353" s="61"/>
      <c r="AC353" s="61"/>
      <c r="AD353" s="61"/>
      <c r="AE353" s="49">
        <f t="shared" si="49"/>
        <v>0</v>
      </c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49">
        <f t="shared" si="50"/>
        <v>0</v>
      </c>
    </row>
    <row r="354" spans="1:57" ht="15" hidden="1" customHeight="1" x14ac:dyDescent="0.2">
      <c r="A354" s="36">
        <v>343</v>
      </c>
      <c r="B354" s="59"/>
      <c r="C354" s="38"/>
      <c r="D354" s="38" t="e">
        <f>VLOOKUP(C354,Planilha1!$J$2:$L$206,3,)</f>
        <v>#N/A</v>
      </c>
      <c r="E354" s="39"/>
      <c r="F354" s="40"/>
      <c r="G354" s="49"/>
      <c r="H354" s="60">
        <f t="shared" si="43"/>
        <v>0</v>
      </c>
      <c r="I354" s="49">
        <f t="shared" si="44"/>
        <v>0</v>
      </c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49">
        <f t="shared" si="45"/>
        <v>0</v>
      </c>
      <c r="V354" s="29">
        <f t="shared" si="46"/>
        <v>0</v>
      </c>
      <c r="W354" s="29">
        <f t="shared" si="47"/>
        <v>0</v>
      </c>
      <c r="X354" s="61">
        <f t="shared" si="48"/>
        <v>0</v>
      </c>
      <c r="Y354" s="61"/>
      <c r="Z354" s="61"/>
      <c r="AA354" s="61"/>
      <c r="AB354" s="61"/>
      <c r="AC354" s="61"/>
      <c r="AD354" s="61"/>
      <c r="AE354" s="49">
        <f t="shared" si="49"/>
        <v>0</v>
      </c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49">
        <f t="shared" si="50"/>
        <v>0</v>
      </c>
    </row>
    <row r="355" spans="1:57" ht="15" hidden="1" customHeight="1" x14ac:dyDescent="0.2">
      <c r="A355" s="36">
        <v>344</v>
      </c>
      <c r="B355" s="59"/>
      <c r="C355" s="38"/>
      <c r="D355" s="38" t="e">
        <f>VLOOKUP(C355,Planilha1!$J$2:$L$206,3,)</f>
        <v>#N/A</v>
      </c>
      <c r="E355" s="39"/>
      <c r="F355" s="40"/>
      <c r="G355" s="49"/>
      <c r="H355" s="60">
        <f t="shared" si="43"/>
        <v>0</v>
      </c>
      <c r="I355" s="49">
        <f t="shared" si="44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49">
        <f t="shared" si="45"/>
        <v>0</v>
      </c>
      <c r="V355" s="29">
        <f t="shared" si="46"/>
        <v>0</v>
      </c>
      <c r="W355" s="29">
        <f t="shared" si="47"/>
        <v>0</v>
      </c>
      <c r="X355" s="61">
        <f t="shared" si="48"/>
        <v>0</v>
      </c>
      <c r="Y355" s="61"/>
      <c r="Z355" s="61"/>
      <c r="AA355" s="61"/>
      <c r="AB355" s="61"/>
      <c r="AC355" s="61"/>
      <c r="AD355" s="61"/>
      <c r="AE355" s="49">
        <f t="shared" si="49"/>
        <v>0</v>
      </c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49">
        <f t="shared" si="50"/>
        <v>0</v>
      </c>
    </row>
    <row r="356" spans="1:57" ht="15" hidden="1" customHeight="1" x14ac:dyDescent="0.2">
      <c r="A356" s="36">
        <v>345</v>
      </c>
      <c r="B356" s="59"/>
      <c r="C356" s="38"/>
      <c r="D356" s="38" t="e">
        <f>VLOOKUP(C356,Planilha1!$J$2:$L$206,3,)</f>
        <v>#N/A</v>
      </c>
      <c r="E356" s="39"/>
      <c r="F356" s="40"/>
      <c r="G356" s="49"/>
      <c r="H356" s="60">
        <f t="shared" si="43"/>
        <v>0</v>
      </c>
      <c r="I356" s="49">
        <f t="shared" si="44"/>
        <v>0</v>
      </c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49">
        <f t="shared" si="45"/>
        <v>0</v>
      </c>
      <c r="V356" s="29">
        <f t="shared" si="46"/>
        <v>0</v>
      </c>
      <c r="W356" s="29">
        <f t="shared" si="47"/>
        <v>0</v>
      </c>
      <c r="X356" s="61">
        <f t="shared" si="48"/>
        <v>0</v>
      </c>
      <c r="Y356" s="61"/>
      <c r="Z356" s="61"/>
      <c r="AA356" s="61"/>
      <c r="AB356" s="61"/>
      <c r="AC356" s="61"/>
      <c r="AD356" s="61"/>
      <c r="AE356" s="49">
        <f t="shared" si="49"/>
        <v>0</v>
      </c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49">
        <f t="shared" si="50"/>
        <v>0</v>
      </c>
    </row>
    <row r="357" spans="1:57" ht="15" hidden="1" customHeight="1" x14ac:dyDescent="0.2">
      <c r="A357" s="36">
        <v>346</v>
      </c>
      <c r="B357" s="59"/>
      <c r="C357" s="38"/>
      <c r="D357" s="38" t="e">
        <f>VLOOKUP(C357,Planilha1!$J$2:$L$206,3,)</f>
        <v>#N/A</v>
      </c>
      <c r="E357" s="39"/>
      <c r="F357" s="40"/>
      <c r="G357" s="49"/>
      <c r="H357" s="60">
        <f t="shared" si="43"/>
        <v>0</v>
      </c>
      <c r="I357" s="49">
        <f t="shared" si="44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49">
        <f t="shared" si="45"/>
        <v>0</v>
      </c>
      <c r="V357" s="29">
        <f t="shared" si="46"/>
        <v>0</v>
      </c>
      <c r="W357" s="29">
        <f t="shared" si="47"/>
        <v>0</v>
      </c>
      <c r="X357" s="61">
        <f t="shared" si="48"/>
        <v>0</v>
      </c>
      <c r="Y357" s="61"/>
      <c r="Z357" s="61"/>
      <c r="AA357" s="61"/>
      <c r="AB357" s="61"/>
      <c r="AC357" s="61"/>
      <c r="AD357" s="61"/>
      <c r="AE357" s="49">
        <f t="shared" si="49"/>
        <v>0</v>
      </c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49">
        <f t="shared" si="50"/>
        <v>0</v>
      </c>
    </row>
    <row r="358" spans="1:57" ht="15" hidden="1" customHeight="1" x14ac:dyDescent="0.2">
      <c r="A358" s="36">
        <v>347</v>
      </c>
      <c r="B358" s="59"/>
      <c r="C358" s="38"/>
      <c r="D358" s="38" t="e">
        <f>VLOOKUP(C358,Planilha1!$J$2:$L$206,3,)</f>
        <v>#N/A</v>
      </c>
      <c r="E358" s="39"/>
      <c r="F358" s="40"/>
      <c r="G358" s="49"/>
      <c r="H358" s="60">
        <f t="shared" si="43"/>
        <v>0</v>
      </c>
      <c r="I358" s="49">
        <f t="shared" si="44"/>
        <v>0</v>
      </c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49">
        <f t="shared" si="45"/>
        <v>0</v>
      </c>
      <c r="V358" s="29">
        <f t="shared" si="46"/>
        <v>0</v>
      </c>
      <c r="W358" s="29">
        <f t="shared" si="47"/>
        <v>0</v>
      </c>
      <c r="X358" s="61">
        <f t="shared" si="48"/>
        <v>0</v>
      </c>
      <c r="Y358" s="61"/>
      <c r="Z358" s="61"/>
      <c r="AA358" s="61"/>
      <c r="AB358" s="61"/>
      <c r="AC358" s="61"/>
      <c r="AD358" s="61"/>
      <c r="AE358" s="49">
        <f t="shared" si="49"/>
        <v>0</v>
      </c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49">
        <f t="shared" si="50"/>
        <v>0</v>
      </c>
    </row>
    <row r="359" spans="1:57" ht="15" hidden="1" customHeight="1" x14ac:dyDescent="0.2">
      <c r="A359" s="36">
        <v>348</v>
      </c>
      <c r="B359" s="59"/>
      <c r="C359" s="38"/>
      <c r="D359" s="38" t="e">
        <f>VLOOKUP(C359,Planilha1!$J$2:$L$206,3,)</f>
        <v>#N/A</v>
      </c>
      <c r="E359" s="39"/>
      <c r="F359" s="40"/>
      <c r="G359" s="49"/>
      <c r="H359" s="60">
        <f t="shared" si="43"/>
        <v>0</v>
      </c>
      <c r="I359" s="49">
        <f t="shared" si="44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49">
        <f t="shared" si="45"/>
        <v>0</v>
      </c>
      <c r="V359" s="29">
        <f t="shared" si="46"/>
        <v>0</v>
      </c>
      <c r="W359" s="29">
        <f t="shared" si="47"/>
        <v>0</v>
      </c>
      <c r="X359" s="61">
        <f t="shared" si="48"/>
        <v>0</v>
      </c>
      <c r="Y359" s="61"/>
      <c r="Z359" s="61"/>
      <c r="AA359" s="61"/>
      <c r="AB359" s="61"/>
      <c r="AC359" s="61"/>
      <c r="AD359" s="61"/>
      <c r="AE359" s="49">
        <f t="shared" si="49"/>
        <v>0</v>
      </c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49">
        <f t="shared" si="50"/>
        <v>0</v>
      </c>
    </row>
    <row r="360" spans="1:57" ht="15" hidden="1" customHeight="1" x14ac:dyDescent="0.2">
      <c r="A360" s="36">
        <v>349</v>
      </c>
      <c r="B360" s="59"/>
      <c r="C360" s="38"/>
      <c r="D360" s="38" t="e">
        <f>VLOOKUP(C360,Planilha1!$J$2:$L$206,3,)</f>
        <v>#N/A</v>
      </c>
      <c r="E360" s="39"/>
      <c r="F360" s="40"/>
      <c r="G360" s="49"/>
      <c r="H360" s="60">
        <f t="shared" ref="H360:H414" si="51">I360+U360</f>
        <v>0</v>
      </c>
      <c r="I360" s="49">
        <f t="shared" ref="I360:I414" si="52">SUM(J360:T360)</f>
        <v>0</v>
      </c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49">
        <f t="shared" ref="U360:U414" si="53">X360+AE360</f>
        <v>0</v>
      </c>
      <c r="V360" s="29">
        <f t="shared" ref="V360:V414" si="54">IF(H360,U360/H360,0)</f>
        <v>0</v>
      </c>
      <c r="W360" s="29">
        <f t="shared" ref="W360:W414" si="55">IF(H360,I360/H360,0)</f>
        <v>0</v>
      </c>
      <c r="X360" s="61">
        <f t="shared" ref="X360:X414" si="56">SUM(Y360:AD360)</f>
        <v>0</v>
      </c>
      <c r="Y360" s="61"/>
      <c r="Z360" s="61"/>
      <c r="AA360" s="61"/>
      <c r="AB360" s="61"/>
      <c r="AC360" s="61"/>
      <c r="AD360" s="61"/>
      <c r="AE360" s="49">
        <f t="shared" ref="AE360:AE414" si="57">SUM(AF360:BD360)</f>
        <v>0</v>
      </c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49">
        <f t="shared" ref="BE360:BE414" si="58">I360+AE360</f>
        <v>0</v>
      </c>
    </row>
    <row r="361" spans="1:57" ht="15" hidden="1" customHeight="1" x14ac:dyDescent="0.2">
      <c r="A361" s="36">
        <v>350</v>
      </c>
      <c r="B361" s="59"/>
      <c r="C361" s="38"/>
      <c r="D361" s="38" t="e">
        <f>VLOOKUP(C361,Planilha1!$J$2:$L$206,3,)</f>
        <v>#N/A</v>
      </c>
      <c r="E361" s="39"/>
      <c r="F361" s="40"/>
      <c r="G361" s="49"/>
      <c r="H361" s="60">
        <f t="shared" si="51"/>
        <v>0</v>
      </c>
      <c r="I361" s="49">
        <f t="shared" si="5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49">
        <f t="shared" si="53"/>
        <v>0</v>
      </c>
      <c r="V361" s="29">
        <f t="shared" si="54"/>
        <v>0</v>
      </c>
      <c r="W361" s="29">
        <f t="shared" si="55"/>
        <v>0</v>
      </c>
      <c r="X361" s="61">
        <f t="shared" si="56"/>
        <v>0</v>
      </c>
      <c r="Y361" s="61"/>
      <c r="Z361" s="61"/>
      <c r="AA361" s="61"/>
      <c r="AB361" s="61"/>
      <c r="AC361" s="61"/>
      <c r="AD361" s="61"/>
      <c r="AE361" s="49">
        <f t="shared" si="57"/>
        <v>0</v>
      </c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49">
        <f t="shared" si="58"/>
        <v>0</v>
      </c>
    </row>
    <row r="362" spans="1:57" ht="15" hidden="1" customHeight="1" x14ac:dyDescent="0.2">
      <c r="A362" s="36">
        <v>351</v>
      </c>
      <c r="B362" s="59"/>
      <c r="C362" s="38"/>
      <c r="D362" s="38" t="e">
        <f>VLOOKUP(C362,Planilha1!$J$2:$L$206,3,)</f>
        <v>#N/A</v>
      </c>
      <c r="E362" s="39"/>
      <c r="F362" s="40"/>
      <c r="G362" s="49"/>
      <c r="H362" s="60">
        <f t="shared" si="51"/>
        <v>0</v>
      </c>
      <c r="I362" s="49">
        <f t="shared" si="52"/>
        <v>0</v>
      </c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49">
        <f t="shared" si="53"/>
        <v>0</v>
      </c>
      <c r="V362" s="29">
        <f t="shared" si="54"/>
        <v>0</v>
      </c>
      <c r="W362" s="29">
        <f t="shared" si="55"/>
        <v>0</v>
      </c>
      <c r="X362" s="61">
        <f t="shared" si="56"/>
        <v>0</v>
      </c>
      <c r="Y362" s="61"/>
      <c r="Z362" s="61"/>
      <c r="AA362" s="61"/>
      <c r="AB362" s="61"/>
      <c r="AC362" s="61"/>
      <c r="AD362" s="61"/>
      <c r="AE362" s="49">
        <f t="shared" si="57"/>
        <v>0</v>
      </c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49">
        <f t="shared" si="58"/>
        <v>0</v>
      </c>
    </row>
    <row r="363" spans="1:57" ht="15" hidden="1" customHeight="1" x14ac:dyDescent="0.2">
      <c r="A363" s="36">
        <v>352</v>
      </c>
      <c r="B363" s="59"/>
      <c r="C363" s="38"/>
      <c r="D363" s="38" t="e">
        <f>VLOOKUP(C363,Planilha1!$J$2:$L$206,3,)</f>
        <v>#N/A</v>
      </c>
      <c r="E363" s="39"/>
      <c r="F363" s="40"/>
      <c r="G363" s="49"/>
      <c r="H363" s="60">
        <f t="shared" si="51"/>
        <v>0</v>
      </c>
      <c r="I363" s="49">
        <f t="shared" si="5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49">
        <f t="shared" si="53"/>
        <v>0</v>
      </c>
      <c r="V363" s="29">
        <f t="shared" si="54"/>
        <v>0</v>
      </c>
      <c r="W363" s="29">
        <f t="shared" si="55"/>
        <v>0</v>
      </c>
      <c r="X363" s="61">
        <f t="shared" si="56"/>
        <v>0</v>
      </c>
      <c r="Y363" s="61"/>
      <c r="Z363" s="61"/>
      <c r="AA363" s="61"/>
      <c r="AB363" s="61"/>
      <c r="AC363" s="61"/>
      <c r="AD363" s="61"/>
      <c r="AE363" s="49">
        <f t="shared" si="57"/>
        <v>0</v>
      </c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49">
        <f t="shared" si="58"/>
        <v>0</v>
      </c>
    </row>
    <row r="364" spans="1:57" ht="15" hidden="1" customHeight="1" x14ac:dyDescent="0.2">
      <c r="A364" s="36">
        <v>353</v>
      </c>
      <c r="B364" s="59"/>
      <c r="C364" s="38"/>
      <c r="D364" s="38" t="e">
        <f>VLOOKUP(C364,Planilha1!$J$2:$L$206,3,)</f>
        <v>#N/A</v>
      </c>
      <c r="E364" s="39"/>
      <c r="F364" s="40"/>
      <c r="G364" s="49"/>
      <c r="H364" s="60">
        <f t="shared" si="51"/>
        <v>0</v>
      </c>
      <c r="I364" s="49">
        <f t="shared" si="52"/>
        <v>0</v>
      </c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49">
        <f t="shared" si="53"/>
        <v>0</v>
      </c>
      <c r="V364" s="29">
        <f t="shared" si="54"/>
        <v>0</v>
      </c>
      <c r="W364" s="29">
        <f t="shared" si="55"/>
        <v>0</v>
      </c>
      <c r="X364" s="61">
        <f t="shared" si="56"/>
        <v>0</v>
      </c>
      <c r="Y364" s="61"/>
      <c r="Z364" s="61"/>
      <c r="AA364" s="61"/>
      <c r="AB364" s="61"/>
      <c r="AC364" s="61"/>
      <c r="AD364" s="61"/>
      <c r="AE364" s="49">
        <f t="shared" si="57"/>
        <v>0</v>
      </c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49">
        <f t="shared" si="58"/>
        <v>0</v>
      </c>
    </row>
    <row r="365" spans="1:57" ht="15" hidden="1" customHeight="1" x14ac:dyDescent="0.2">
      <c r="A365" s="36">
        <v>354</v>
      </c>
      <c r="B365" s="59"/>
      <c r="C365" s="38"/>
      <c r="D365" s="38" t="e">
        <f>VLOOKUP(C365,Planilha1!$J$2:$L$206,3,)</f>
        <v>#N/A</v>
      </c>
      <c r="E365" s="39"/>
      <c r="F365" s="40"/>
      <c r="G365" s="49"/>
      <c r="H365" s="60">
        <f t="shared" si="51"/>
        <v>0</v>
      </c>
      <c r="I365" s="49">
        <f t="shared" si="52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49">
        <f t="shared" si="53"/>
        <v>0</v>
      </c>
      <c r="V365" s="29">
        <f t="shared" si="54"/>
        <v>0</v>
      </c>
      <c r="W365" s="29">
        <f t="shared" si="55"/>
        <v>0</v>
      </c>
      <c r="X365" s="61">
        <f t="shared" si="56"/>
        <v>0</v>
      </c>
      <c r="Y365" s="61"/>
      <c r="Z365" s="61"/>
      <c r="AA365" s="61"/>
      <c r="AB365" s="61"/>
      <c r="AC365" s="61"/>
      <c r="AD365" s="61"/>
      <c r="AE365" s="49">
        <f t="shared" si="57"/>
        <v>0</v>
      </c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49">
        <f t="shared" si="58"/>
        <v>0</v>
      </c>
    </row>
    <row r="366" spans="1:57" ht="15" hidden="1" customHeight="1" x14ac:dyDescent="0.2">
      <c r="A366" s="36">
        <v>355</v>
      </c>
      <c r="B366" s="59"/>
      <c r="C366" s="38"/>
      <c r="D366" s="38" t="e">
        <f>VLOOKUP(C366,Planilha1!$J$2:$L$206,3,)</f>
        <v>#N/A</v>
      </c>
      <c r="E366" s="39"/>
      <c r="F366" s="40"/>
      <c r="G366" s="49"/>
      <c r="H366" s="60">
        <f t="shared" si="51"/>
        <v>0</v>
      </c>
      <c r="I366" s="49">
        <f t="shared" si="52"/>
        <v>0</v>
      </c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49">
        <f t="shared" si="53"/>
        <v>0</v>
      </c>
      <c r="V366" s="29">
        <f t="shared" si="54"/>
        <v>0</v>
      </c>
      <c r="W366" s="29">
        <f t="shared" si="55"/>
        <v>0</v>
      </c>
      <c r="X366" s="61">
        <f t="shared" si="56"/>
        <v>0</v>
      </c>
      <c r="Y366" s="61"/>
      <c r="Z366" s="61"/>
      <c r="AA366" s="61"/>
      <c r="AB366" s="61"/>
      <c r="AC366" s="61"/>
      <c r="AD366" s="61"/>
      <c r="AE366" s="49">
        <f t="shared" si="57"/>
        <v>0</v>
      </c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49">
        <f t="shared" si="58"/>
        <v>0</v>
      </c>
    </row>
    <row r="367" spans="1:57" ht="15" hidden="1" customHeight="1" x14ac:dyDescent="0.2">
      <c r="A367" s="36">
        <v>356</v>
      </c>
      <c r="B367" s="59"/>
      <c r="C367" s="38"/>
      <c r="D367" s="38" t="e">
        <f>VLOOKUP(C367,Planilha1!$J$2:$L$206,3,)</f>
        <v>#N/A</v>
      </c>
      <c r="E367" s="39"/>
      <c r="F367" s="40"/>
      <c r="G367" s="49"/>
      <c r="H367" s="60">
        <f t="shared" si="51"/>
        <v>0</v>
      </c>
      <c r="I367" s="49">
        <f t="shared" si="52"/>
        <v>0</v>
      </c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49">
        <f t="shared" si="53"/>
        <v>0</v>
      </c>
      <c r="V367" s="29">
        <f t="shared" si="54"/>
        <v>0</v>
      </c>
      <c r="W367" s="29">
        <f t="shared" si="55"/>
        <v>0</v>
      </c>
      <c r="X367" s="61">
        <f t="shared" si="56"/>
        <v>0</v>
      </c>
      <c r="Y367" s="61"/>
      <c r="Z367" s="61"/>
      <c r="AA367" s="61"/>
      <c r="AB367" s="61"/>
      <c r="AC367" s="61"/>
      <c r="AD367" s="61"/>
      <c r="AE367" s="49">
        <f t="shared" si="57"/>
        <v>0</v>
      </c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49">
        <f t="shared" si="58"/>
        <v>0</v>
      </c>
    </row>
    <row r="368" spans="1:57" ht="15" hidden="1" customHeight="1" x14ac:dyDescent="0.2">
      <c r="A368" s="36">
        <v>357</v>
      </c>
      <c r="B368" s="59"/>
      <c r="C368" s="38"/>
      <c r="D368" s="38" t="e">
        <f>VLOOKUP(C368,Planilha1!$J$2:$L$206,3,)</f>
        <v>#N/A</v>
      </c>
      <c r="E368" s="39"/>
      <c r="F368" s="40"/>
      <c r="G368" s="49"/>
      <c r="H368" s="60">
        <f t="shared" si="51"/>
        <v>0</v>
      </c>
      <c r="I368" s="49">
        <f t="shared" si="52"/>
        <v>0</v>
      </c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49">
        <f t="shared" si="53"/>
        <v>0</v>
      </c>
      <c r="V368" s="29">
        <f t="shared" si="54"/>
        <v>0</v>
      </c>
      <c r="W368" s="29">
        <f t="shared" si="55"/>
        <v>0</v>
      </c>
      <c r="X368" s="61">
        <f t="shared" si="56"/>
        <v>0</v>
      </c>
      <c r="Y368" s="61"/>
      <c r="Z368" s="61"/>
      <c r="AA368" s="61"/>
      <c r="AB368" s="61"/>
      <c r="AC368" s="61"/>
      <c r="AD368" s="61"/>
      <c r="AE368" s="49">
        <f t="shared" si="57"/>
        <v>0</v>
      </c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49">
        <f t="shared" si="58"/>
        <v>0</v>
      </c>
    </row>
    <row r="369" spans="1:57" ht="15" hidden="1" customHeight="1" x14ac:dyDescent="0.2">
      <c r="A369" s="36">
        <v>358</v>
      </c>
      <c r="B369" s="59"/>
      <c r="C369" s="38"/>
      <c r="D369" s="38" t="e">
        <f>VLOOKUP(C369,Planilha1!$J$2:$L$206,3,)</f>
        <v>#N/A</v>
      </c>
      <c r="E369" s="39"/>
      <c r="F369" s="40"/>
      <c r="G369" s="49"/>
      <c r="H369" s="60">
        <f t="shared" si="51"/>
        <v>0</v>
      </c>
      <c r="I369" s="49">
        <f t="shared" si="52"/>
        <v>0</v>
      </c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49">
        <f t="shared" si="53"/>
        <v>0</v>
      </c>
      <c r="V369" s="29">
        <f t="shared" si="54"/>
        <v>0</v>
      </c>
      <c r="W369" s="29">
        <f t="shared" si="55"/>
        <v>0</v>
      </c>
      <c r="X369" s="61">
        <f t="shared" si="56"/>
        <v>0</v>
      </c>
      <c r="Y369" s="61"/>
      <c r="Z369" s="61"/>
      <c r="AA369" s="61"/>
      <c r="AB369" s="61"/>
      <c r="AC369" s="61"/>
      <c r="AD369" s="61"/>
      <c r="AE369" s="49">
        <f t="shared" si="57"/>
        <v>0</v>
      </c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49">
        <f t="shared" si="58"/>
        <v>0</v>
      </c>
    </row>
    <row r="370" spans="1:57" ht="15" hidden="1" customHeight="1" x14ac:dyDescent="0.2">
      <c r="A370" s="36">
        <v>359</v>
      </c>
      <c r="B370" s="59"/>
      <c r="C370" s="38"/>
      <c r="D370" s="38" t="e">
        <f>VLOOKUP(C370,Planilha1!$J$2:$L$206,3,)</f>
        <v>#N/A</v>
      </c>
      <c r="E370" s="39"/>
      <c r="F370" s="40"/>
      <c r="G370" s="49"/>
      <c r="H370" s="60">
        <f t="shared" si="51"/>
        <v>0</v>
      </c>
      <c r="I370" s="49">
        <f t="shared" si="52"/>
        <v>0</v>
      </c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49">
        <f t="shared" si="53"/>
        <v>0</v>
      </c>
      <c r="V370" s="29">
        <f t="shared" si="54"/>
        <v>0</v>
      </c>
      <c r="W370" s="29">
        <f t="shared" si="55"/>
        <v>0</v>
      </c>
      <c r="X370" s="61">
        <f t="shared" si="56"/>
        <v>0</v>
      </c>
      <c r="Y370" s="61"/>
      <c r="Z370" s="61"/>
      <c r="AA370" s="61"/>
      <c r="AB370" s="61"/>
      <c r="AC370" s="61"/>
      <c r="AD370" s="61"/>
      <c r="AE370" s="49">
        <f t="shared" si="57"/>
        <v>0</v>
      </c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49">
        <f t="shared" si="58"/>
        <v>0</v>
      </c>
    </row>
    <row r="371" spans="1:57" ht="15" hidden="1" customHeight="1" x14ac:dyDescent="0.2">
      <c r="A371" s="36">
        <v>360</v>
      </c>
      <c r="B371" s="59"/>
      <c r="C371" s="38"/>
      <c r="D371" s="38" t="e">
        <f>VLOOKUP(C371,Planilha1!$J$2:$L$206,3,)</f>
        <v>#N/A</v>
      </c>
      <c r="E371" s="39"/>
      <c r="F371" s="40"/>
      <c r="G371" s="49"/>
      <c r="H371" s="60">
        <f t="shared" si="51"/>
        <v>0</v>
      </c>
      <c r="I371" s="49">
        <f t="shared" si="52"/>
        <v>0</v>
      </c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49">
        <f t="shared" si="53"/>
        <v>0</v>
      </c>
      <c r="V371" s="29">
        <f t="shared" si="54"/>
        <v>0</v>
      </c>
      <c r="W371" s="29">
        <f t="shared" si="55"/>
        <v>0</v>
      </c>
      <c r="X371" s="61">
        <f t="shared" si="56"/>
        <v>0</v>
      </c>
      <c r="Y371" s="61"/>
      <c r="Z371" s="61"/>
      <c r="AA371" s="61"/>
      <c r="AB371" s="61"/>
      <c r="AC371" s="61"/>
      <c r="AD371" s="61"/>
      <c r="AE371" s="49">
        <f t="shared" si="57"/>
        <v>0</v>
      </c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49">
        <f t="shared" si="58"/>
        <v>0</v>
      </c>
    </row>
    <row r="372" spans="1:57" ht="15" hidden="1" customHeight="1" x14ac:dyDescent="0.2">
      <c r="A372" s="36">
        <v>361</v>
      </c>
      <c r="B372" s="59"/>
      <c r="C372" s="38"/>
      <c r="D372" s="38" t="e">
        <f>VLOOKUP(C372,Planilha1!$J$2:$L$206,3,)</f>
        <v>#N/A</v>
      </c>
      <c r="E372" s="39"/>
      <c r="F372" s="40"/>
      <c r="G372" s="49"/>
      <c r="H372" s="60">
        <f t="shared" si="51"/>
        <v>0</v>
      </c>
      <c r="I372" s="49">
        <f t="shared" si="52"/>
        <v>0</v>
      </c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49">
        <f t="shared" si="53"/>
        <v>0</v>
      </c>
      <c r="V372" s="29">
        <f t="shared" si="54"/>
        <v>0</v>
      </c>
      <c r="W372" s="29">
        <f t="shared" si="55"/>
        <v>0</v>
      </c>
      <c r="X372" s="61">
        <f t="shared" si="56"/>
        <v>0</v>
      </c>
      <c r="Y372" s="61"/>
      <c r="Z372" s="61"/>
      <c r="AA372" s="61"/>
      <c r="AB372" s="61"/>
      <c r="AC372" s="61"/>
      <c r="AD372" s="61"/>
      <c r="AE372" s="49">
        <f t="shared" si="57"/>
        <v>0</v>
      </c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49">
        <f t="shared" si="58"/>
        <v>0</v>
      </c>
    </row>
    <row r="373" spans="1:57" ht="15" hidden="1" customHeight="1" x14ac:dyDescent="0.2">
      <c r="A373" s="36">
        <v>362</v>
      </c>
      <c r="B373" s="59"/>
      <c r="C373" s="38"/>
      <c r="D373" s="38" t="e">
        <f>VLOOKUP(C373,Planilha1!$J$2:$L$206,3,)</f>
        <v>#N/A</v>
      </c>
      <c r="E373" s="39"/>
      <c r="F373" s="40"/>
      <c r="G373" s="49"/>
      <c r="H373" s="60">
        <f t="shared" si="51"/>
        <v>0</v>
      </c>
      <c r="I373" s="49">
        <f t="shared" si="52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49">
        <f t="shared" si="53"/>
        <v>0</v>
      </c>
      <c r="V373" s="29">
        <f t="shared" si="54"/>
        <v>0</v>
      </c>
      <c r="W373" s="29">
        <f t="shared" si="55"/>
        <v>0</v>
      </c>
      <c r="X373" s="61">
        <f t="shared" si="56"/>
        <v>0</v>
      </c>
      <c r="Y373" s="61"/>
      <c r="Z373" s="61"/>
      <c r="AA373" s="61"/>
      <c r="AB373" s="61"/>
      <c r="AC373" s="61"/>
      <c r="AD373" s="61"/>
      <c r="AE373" s="49">
        <f t="shared" si="57"/>
        <v>0</v>
      </c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49">
        <f t="shared" si="58"/>
        <v>0</v>
      </c>
    </row>
    <row r="374" spans="1:57" ht="15" hidden="1" customHeight="1" x14ac:dyDescent="0.2">
      <c r="A374" s="36">
        <v>363</v>
      </c>
      <c r="B374" s="59"/>
      <c r="C374" s="38"/>
      <c r="D374" s="38" t="e">
        <f>VLOOKUP(C374,Planilha1!$J$2:$L$206,3,)</f>
        <v>#N/A</v>
      </c>
      <c r="E374" s="39"/>
      <c r="F374" s="40"/>
      <c r="G374" s="49"/>
      <c r="H374" s="60">
        <f t="shared" si="51"/>
        <v>0</v>
      </c>
      <c r="I374" s="49">
        <f t="shared" si="52"/>
        <v>0</v>
      </c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49">
        <f t="shared" si="53"/>
        <v>0</v>
      </c>
      <c r="V374" s="29">
        <f t="shared" si="54"/>
        <v>0</v>
      </c>
      <c r="W374" s="29">
        <f t="shared" si="55"/>
        <v>0</v>
      </c>
      <c r="X374" s="61">
        <f t="shared" si="56"/>
        <v>0</v>
      </c>
      <c r="Y374" s="61"/>
      <c r="Z374" s="61"/>
      <c r="AA374" s="61"/>
      <c r="AB374" s="61"/>
      <c r="AC374" s="61"/>
      <c r="AD374" s="61"/>
      <c r="AE374" s="49">
        <f t="shared" si="57"/>
        <v>0</v>
      </c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49">
        <f t="shared" si="58"/>
        <v>0</v>
      </c>
    </row>
    <row r="375" spans="1:57" ht="15" hidden="1" customHeight="1" x14ac:dyDescent="0.2">
      <c r="A375" s="36">
        <v>364</v>
      </c>
      <c r="B375" s="59"/>
      <c r="C375" s="38"/>
      <c r="D375" s="38" t="e">
        <f>VLOOKUP(C375,Planilha1!$J$2:$L$206,3,)</f>
        <v>#N/A</v>
      </c>
      <c r="E375" s="39"/>
      <c r="F375" s="40"/>
      <c r="G375" s="49"/>
      <c r="H375" s="60">
        <f t="shared" si="51"/>
        <v>0</v>
      </c>
      <c r="I375" s="49">
        <f t="shared" si="52"/>
        <v>0</v>
      </c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49">
        <f t="shared" si="53"/>
        <v>0</v>
      </c>
      <c r="V375" s="29">
        <f t="shared" si="54"/>
        <v>0</v>
      </c>
      <c r="W375" s="29">
        <f t="shared" si="55"/>
        <v>0</v>
      </c>
      <c r="X375" s="61">
        <f t="shared" si="56"/>
        <v>0</v>
      </c>
      <c r="Y375" s="61"/>
      <c r="Z375" s="61"/>
      <c r="AA375" s="61"/>
      <c r="AB375" s="61"/>
      <c r="AC375" s="61"/>
      <c r="AD375" s="61"/>
      <c r="AE375" s="49">
        <f t="shared" si="57"/>
        <v>0</v>
      </c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49">
        <f t="shared" si="58"/>
        <v>0</v>
      </c>
    </row>
    <row r="376" spans="1:57" ht="15" hidden="1" customHeight="1" x14ac:dyDescent="0.2">
      <c r="A376" s="36">
        <v>365</v>
      </c>
      <c r="B376" s="59"/>
      <c r="C376" s="38"/>
      <c r="D376" s="38" t="e">
        <f>VLOOKUP(C376,Planilha1!$J$2:$L$206,3,)</f>
        <v>#N/A</v>
      </c>
      <c r="E376" s="39"/>
      <c r="F376" s="40"/>
      <c r="G376" s="49"/>
      <c r="H376" s="60">
        <f t="shared" si="51"/>
        <v>0</v>
      </c>
      <c r="I376" s="49">
        <f t="shared" si="52"/>
        <v>0</v>
      </c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49">
        <f t="shared" si="53"/>
        <v>0</v>
      </c>
      <c r="V376" s="29">
        <f t="shared" si="54"/>
        <v>0</v>
      </c>
      <c r="W376" s="29">
        <f t="shared" si="55"/>
        <v>0</v>
      </c>
      <c r="X376" s="61">
        <f t="shared" si="56"/>
        <v>0</v>
      </c>
      <c r="Y376" s="61"/>
      <c r="Z376" s="61"/>
      <c r="AA376" s="61"/>
      <c r="AB376" s="61"/>
      <c r="AC376" s="61"/>
      <c r="AD376" s="61"/>
      <c r="AE376" s="49">
        <f t="shared" si="57"/>
        <v>0</v>
      </c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49">
        <f t="shared" si="58"/>
        <v>0</v>
      </c>
    </row>
    <row r="377" spans="1:57" ht="15" hidden="1" customHeight="1" x14ac:dyDescent="0.2">
      <c r="A377" s="36">
        <v>366</v>
      </c>
      <c r="B377" s="59"/>
      <c r="C377" s="38"/>
      <c r="D377" s="38" t="e">
        <f>VLOOKUP(C377,Planilha1!$J$2:$L$206,3,)</f>
        <v>#N/A</v>
      </c>
      <c r="E377" s="39"/>
      <c r="F377" s="40"/>
      <c r="G377" s="49"/>
      <c r="H377" s="60">
        <f t="shared" si="51"/>
        <v>0</v>
      </c>
      <c r="I377" s="49">
        <f t="shared" si="52"/>
        <v>0</v>
      </c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49">
        <f t="shared" si="53"/>
        <v>0</v>
      </c>
      <c r="V377" s="29">
        <f t="shared" si="54"/>
        <v>0</v>
      </c>
      <c r="W377" s="29">
        <f t="shared" si="55"/>
        <v>0</v>
      </c>
      <c r="X377" s="61">
        <f t="shared" si="56"/>
        <v>0</v>
      </c>
      <c r="Y377" s="61"/>
      <c r="Z377" s="61"/>
      <c r="AA377" s="61"/>
      <c r="AB377" s="61"/>
      <c r="AC377" s="61"/>
      <c r="AD377" s="61"/>
      <c r="AE377" s="49">
        <f t="shared" si="57"/>
        <v>0</v>
      </c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49">
        <f t="shared" si="58"/>
        <v>0</v>
      </c>
    </row>
    <row r="378" spans="1:57" ht="15" hidden="1" customHeight="1" x14ac:dyDescent="0.2">
      <c r="A378" s="36">
        <v>367</v>
      </c>
      <c r="B378" s="59"/>
      <c r="C378" s="38"/>
      <c r="D378" s="38" t="e">
        <f>VLOOKUP(C378,Planilha1!$J$2:$L$206,3,)</f>
        <v>#N/A</v>
      </c>
      <c r="E378" s="39"/>
      <c r="F378" s="40"/>
      <c r="G378" s="49"/>
      <c r="H378" s="60">
        <f t="shared" si="51"/>
        <v>0</v>
      </c>
      <c r="I378" s="49">
        <f t="shared" si="52"/>
        <v>0</v>
      </c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49">
        <f t="shared" si="53"/>
        <v>0</v>
      </c>
      <c r="V378" s="29">
        <f t="shared" si="54"/>
        <v>0</v>
      </c>
      <c r="W378" s="29">
        <f t="shared" si="55"/>
        <v>0</v>
      </c>
      <c r="X378" s="61">
        <f t="shared" si="56"/>
        <v>0</v>
      </c>
      <c r="Y378" s="61"/>
      <c r="Z378" s="61"/>
      <c r="AA378" s="61"/>
      <c r="AB378" s="61"/>
      <c r="AC378" s="61"/>
      <c r="AD378" s="61"/>
      <c r="AE378" s="49">
        <f t="shared" si="57"/>
        <v>0</v>
      </c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49">
        <f t="shared" si="58"/>
        <v>0</v>
      </c>
    </row>
    <row r="379" spans="1:57" ht="15" hidden="1" customHeight="1" x14ac:dyDescent="0.2">
      <c r="A379" s="36">
        <v>368</v>
      </c>
      <c r="B379" s="59"/>
      <c r="C379" s="38"/>
      <c r="D379" s="38" t="e">
        <f>VLOOKUP(C379,Planilha1!$J$2:$L$206,3,)</f>
        <v>#N/A</v>
      </c>
      <c r="E379" s="39"/>
      <c r="F379" s="40"/>
      <c r="G379" s="49"/>
      <c r="H379" s="60">
        <f t="shared" si="51"/>
        <v>0</v>
      </c>
      <c r="I379" s="49">
        <f t="shared" si="52"/>
        <v>0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49">
        <f t="shared" si="53"/>
        <v>0</v>
      </c>
      <c r="V379" s="29">
        <f t="shared" si="54"/>
        <v>0</v>
      </c>
      <c r="W379" s="29">
        <f t="shared" si="55"/>
        <v>0</v>
      </c>
      <c r="X379" s="61">
        <f t="shared" si="56"/>
        <v>0</v>
      </c>
      <c r="Y379" s="61"/>
      <c r="Z379" s="61"/>
      <c r="AA379" s="61"/>
      <c r="AB379" s="61"/>
      <c r="AC379" s="61"/>
      <c r="AD379" s="61"/>
      <c r="AE379" s="49">
        <f t="shared" si="57"/>
        <v>0</v>
      </c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49">
        <f t="shared" si="58"/>
        <v>0</v>
      </c>
    </row>
    <row r="380" spans="1:57" ht="15" hidden="1" customHeight="1" x14ac:dyDescent="0.2">
      <c r="A380" s="36">
        <v>369</v>
      </c>
      <c r="B380" s="59"/>
      <c r="C380" s="38"/>
      <c r="D380" s="38" t="e">
        <f>VLOOKUP(C380,Planilha1!$J$2:$L$206,3,)</f>
        <v>#N/A</v>
      </c>
      <c r="E380" s="39"/>
      <c r="F380" s="40"/>
      <c r="G380" s="49"/>
      <c r="H380" s="60">
        <f t="shared" si="51"/>
        <v>0</v>
      </c>
      <c r="I380" s="49">
        <f t="shared" si="52"/>
        <v>0</v>
      </c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49">
        <f t="shared" si="53"/>
        <v>0</v>
      </c>
      <c r="V380" s="29">
        <f t="shared" si="54"/>
        <v>0</v>
      </c>
      <c r="W380" s="29">
        <f t="shared" si="55"/>
        <v>0</v>
      </c>
      <c r="X380" s="61">
        <f t="shared" si="56"/>
        <v>0</v>
      </c>
      <c r="Y380" s="61"/>
      <c r="Z380" s="61"/>
      <c r="AA380" s="61"/>
      <c r="AB380" s="61"/>
      <c r="AC380" s="61"/>
      <c r="AD380" s="61"/>
      <c r="AE380" s="49">
        <f t="shared" si="57"/>
        <v>0</v>
      </c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49">
        <f t="shared" si="58"/>
        <v>0</v>
      </c>
    </row>
    <row r="381" spans="1:57" ht="15" hidden="1" customHeight="1" x14ac:dyDescent="0.2">
      <c r="A381" s="36">
        <v>370</v>
      </c>
      <c r="B381" s="59"/>
      <c r="C381" s="38"/>
      <c r="D381" s="38" t="e">
        <f>VLOOKUP(C381,Planilha1!$J$2:$L$206,3,)</f>
        <v>#N/A</v>
      </c>
      <c r="E381" s="39"/>
      <c r="F381" s="40"/>
      <c r="G381" s="49"/>
      <c r="H381" s="60">
        <f t="shared" si="51"/>
        <v>0</v>
      </c>
      <c r="I381" s="49">
        <f t="shared" si="52"/>
        <v>0</v>
      </c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49">
        <f t="shared" si="53"/>
        <v>0</v>
      </c>
      <c r="V381" s="29">
        <f t="shared" si="54"/>
        <v>0</v>
      </c>
      <c r="W381" s="29">
        <f t="shared" si="55"/>
        <v>0</v>
      </c>
      <c r="X381" s="61">
        <f t="shared" si="56"/>
        <v>0</v>
      </c>
      <c r="Y381" s="61"/>
      <c r="Z381" s="61"/>
      <c r="AA381" s="61"/>
      <c r="AB381" s="61"/>
      <c r="AC381" s="61"/>
      <c r="AD381" s="61"/>
      <c r="AE381" s="49">
        <f t="shared" si="57"/>
        <v>0</v>
      </c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49">
        <f t="shared" si="58"/>
        <v>0</v>
      </c>
    </row>
    <row r="382" spans="1:57" ht="15" hidden="1" customHeight="1" x14ac:dyDescent="0.2">
      <c r="A382" s="36">
        <v>371</v>
      </c>
      <c r="B382" s="59"/>
      <c r="C382" s="38"/>
      <c r="D382" s="38" t="e">
        <f>VLOOKUP(C382,Planilha1!$J$2:$L$206,3,)</f>
        <v>#N/A</v>
      </c>
      <c r="E382" s="39"/>
      <c r="F382" s="40"/>
      <c r="G382" s="49"/>
      <c r="H382" s="60">
        <f t="shared" si="51"/>
        <v>0</v>
      </c>
      <c r="I382" s="49">
        <f t="shared" si="52"/>
        <v>0</v>
      </c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49">
        <f t="shared" si="53"/>
        <v>0</v>
      </c>
      <c r="V382" s="29">
        <f t="shared" si="54"/>
        <v>0</v>
      </c>
      <c r="W382" s="29">
        <f t="shared" si="55"/>
        <v>0</v>
      </c>
      <c r="X382" s="61">
        <f t="shared" si="56"/>
        <v>0</v>
      </c>
      <c r="Y382" s="61"/>
      <c r="Z382" s="61"/>
      <c r="AA382" s="61"/>
      <c r="AB382" s="61"/>
      <c r="AC382" s="61"/>
      <c r="AD382" s="61"/>
      <c r="AE382" s="49">
        <f t="shared" si="57"/>
        <v>0</v>
      </c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49">
        <f t="shared" si="58"/>
        <v>0</v>
      </c>
    </row>
    <row r="383" spans="1:57" ht="15" hidden="1" customHeight="1" x14ac:dyDescent="0.2">
      <c r="A383" s="36">
        <v>372</v>
      </c>
      <c r="B383" s="59"/>
      <c r="C383" s="38"/>
      <c r="D383" s="38" t="e">
        <f>VLOOKUP(C383,Planilha1!$J$2:$L$206,3,)</f>
        <v>#N/A</v>
      </c>
      <c r="E383" s="39"/>
      <c r="F383" s="40"/>
      <c r="G383" s="49"/>
      <c r="H383" s="60">
        <f t="shared" si="51"/>
        <v>0</v>
      </c>
      <c r="I383" s="49">
        <f t="shared" si="52"/>
        <v>0</v>
      </c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49">
        <f t="shared" si="53"/>
        <v>0</v>
      </c>
      <c r="V383" s="29">
        <f t="shared" si="54"/>
        <v>0</v>
      </c>
      <c r="W383" s="29">
        <f t="shared" si="55"/>
        <v>0</v>
      </c>
      <c r="X383" s="61">
        <f t="shared" si="56"/>
        <v>0</v>
      </c>
      <c r="Y383" s="61"/>
      <c r="Z383" s="61"/>
      <c r="AA383" s="61"/>
      <c r="AB383" s="61"/>
      <c r="AC383" s="61"/>
      <c r="AD383" s="61"/>
      <c r="AE383" s="49">
        <f t="shared" si="57"/>
        <v>0</v>
      </c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49">
        <f t="shared" si="58"/>
        <v>0</v>
      </c>
    </row>
    <row r="384" spans="1:57" ht="15" hidden="1" customHeight="1" x14ac:dyDescent="0.2">
      <c r="A384" s="36">
        <v>373</v>
      </c>
      <c r="B384" s="59"/>
      <c r="C384" s="38"/>
      <c r="D384" s="38" t="e">
        <f>VLOOKUP(C384,Planilha1!$J$2:$L$206,3,)</f>
        <v>#N/A</v>
      </c>
      <c r="E384" s="39"/>
      <c r="F384" s="40"/>
      <c r="G384" s="49"/>
      <c r="H384" s="60">
        <f t="shared" si="51"/>
        <v>0</v>
      </c>
      <c r="I384" s="49">
        <f t="shared" si="52"/>
        <v>0</v>
      </c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49">
        <f t="shared" si="53"/>
        <v>0</v>
      </c>
      <c r="V384" s="29">
        <f t="shared" si="54"/>
        <v>0</v>
      </c>
      <c r="W384" s="29">
        <f t="shared" si="55"/>
        <v>0</v>
      </c>
      <c r="X384" s="61">
        <f t="shared" si="56"/>
        <v>0</v>
      </c>
      <c r="Y384" s="61"/>
      <c r="Z384" s="61"/>
      <c r="AA384" s="61"/>
      <c r="AB384" s="61"/>
      <c r="AC384" s="61"/>
      <c r="AD384" s="61"/>
      <c r="AE384" s="49">
        <f t="shared" si="57"/>
        <v>0</v>
      </c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49">
        <f t="shared" si="58"/>
        <v>0</v>
      </c>
    </row>
    <row r="385" spans="1:57" ht="15" hidden="1" customHeight="1" x14ac:dyDescent="0.2">
      <c r="A385" s="36">
        <v>374</v>
      </c>
      <c r="B385" s="59"/>
      <c r="C385" s="38"/>
      <c r="D385" s="38" t="e">
        <f>VLOOKUP(C385,Planilha1!$J$2:$L$206,3,)</f>
        <v>#N/A</v>
      </c>
      <c r="E385" s="39"/>
      <c r="F385" s="40"/>
      <c r="G385" s="49"/>
      <c r="H385" s="60">
        <f t="shared" si="51"/>
        <v>0</v>
      </c>
      <c r="I385" s="49">
        <f t="shared" si="52"/>
        <v>0</v>
      </c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49">
        <f t="shared" si="53"/>
        <v>0</v>
      </c>
      <c r="V385" s="29">
        <f t="shared" si="54"/>
        <v>0</v>
      </c>
      <c r="W385" s="29">
        <f t="shared" si="55"/>
        <v>0</v>
      </c>
      <c r="X385" s="61">
        <f t="shared" si="56"/>
        <v>0</v>
      </c>
      <c r="Y385" s="61"/>
      <c r="Z385" s="61"/>
      <c r="AA385" s="61"/>
      <c r="AB385" s="61"/>
      <c r="AC385" s="61"/>
      <c r="AD385" s="61"/>
      <c r="AE385" s="49">
        <f t="shared" si="57"/>
        <v>0</v>
      </c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49">
        <f t="shared" si="58"/>
        <v>0</v>
      </c>
    </row>
    <row r="386" spans="1:57" ht="15" hidden="1" customHeight="1" x14ac:dyDescent="0.2">
      <c r="A386" s="36">
        <v>375</v>
      </c>
      <c r="B386" s="59"/>
      <c r="C386" s="38"/>
      <c r="D386" s="38" t="e">
        <f>VLOOKUP(C386,Planilha1!$J$2:$L$206,3,)</f>
        <v>#N/A</v>
      </c>
      <c r="E386" s="39"/>
      <c r="F386" s="40"/>
      <c r="G386" s="49"/>
      <c r="H386" s="60">
        <f t="shared" si="51"/>
        <v>0</v>
      </c>
      <c r="I386" s="49">
        <f t="shared" si="52"/>
        <v>0</v>
      </c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49">
        <f t="shared" si="53"/>
        <v>0</v>
      </c>
      <c r="V386" s="29">
        <f t="shared" si="54"/>
        <v>0</v>
      </c>
      <c r="W386" s="29">
        <f t="shared" si="55"/>
        <v>0</v>
      </c>
      <c r="X386" s="61">
        <f t="shared" si="56"/>
        <v>0</v>
      </c>
      <c r="Y386" s="61"/>
      <c r="Z386" s="61"/>
      <c r="AA386" s="61"/>
      <c r="AB386" s="61"/>
      <c r="AC386" s="61"/>
      <c r="AD386" s="61"/>
      <c r="AE386" s="49">
        <f t="shared" si="57"/>
        <v>0</v>
      </c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49">
        <f t="shared" si="58"/>
        <v>0</v>
      </c>
    </row>
    <row r="387" spans="1:57" ht="15" hidden="1" customHeight="1" x14ac:dyDescent="0.2">
      <c r="A387" s="36">
        <v>376</v>
      </c>
      <c r="B387" s="59"/>
      <c r="C387" s="38"/>
      <c r="D387" s="38" t="e">
        <f>VLOOKUP(C387,Planilha1!$J$2:$L$206,3,)</f>
        <v>#N/A</v>
      </c>
      <c r="E387" s="39"/>
      <c r="F387" s="40"/>
      <c r="G387" s="49"/>
      <c r="H387" s="60">
        <f t="shared" si="51"/>
        <v>0</v>
      </c>
      <c r="I387" s="49">
        <f t="shared" si="52"/>
        <v>0</v>
      </c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49">
        <f t="shared" si="53"/>
        <v>0</v>
      </c>
      <c r="V387" s="29">
        <f t="shared" si="54"/>
        <v>0</v>
      </c>
      <c r="W387" s="29">
        <f t="shared" si="55"/>
        <v>0</v>
      </c>
      <c r="X387" s="61">
        <f t="shared" si="56"/>
        <v>0</v>
      </c>
      <c r="Y387" s="61"/>
      <c r="Z387" s="61"/>
      <c r="AA387" s="61"/>
      <c r="AB387" s="61"/>
      <c r="AC387" s="61"/>
      <c r="AD387" s="61"/>
      <c r="AE387" s="49">
        <f t="shared" si="57"/>
        <v>0</v>
      </c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49">
        <f t="shared" si="58"/>
        <v>0</v>
      </c>
    </row>
    <row r="388" spans="1:57" ht="15" hidden="1" customHeight="1" x14ac:dyDescent="0.2">
      <c r="A388" s="36">
        <v>377</v>
      </c>
      <c r="B388" s="59"/>
      <c r="C388" s="38"/>
      <c r="D388" s="38" t="e">
        <f>VLOOKUP(C388,Planilha1!$J$2:$L$206,3,)</f>
        <v>#N/A</v>
      </c>
      <c r="E388" s="39"/>
      <c r="F388" s="40"/>
      <c r="G388" s="49"/>
      <c r="H388" s="60">
        <f t="shared" si="51"/>
        <v>0</v>
      </c>
      <c r="I388" s="49">
        <f t="shared" si="52"/>
        <v>0</v>
      </c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49">
        <f t="shared" si="53"/>
        <v>0</v>
      </c>
      <c r="V388" s="29">
        <f t="shared" si="54"/>
        <v>0</v>
      </c>
      <c r="W388" s="29">
        <f t="shared" si="55"/>
        <v>0</v>
      </c>
      <c r="X388" s="61">
        <f t="shared" si="56"/>
        <v>0</v>
      </c>
      <c r="Y388" s="61"/>
      <c r="Z388" s="61"/>
      <c r="AA388" s="61"/>
      <c r="AB388" s="61"/>
      <c r="AC388" s="61"/>
      <c r="AD388" s="61"/>
      <c r="AE388" s="49">
        <f t="shared" si="57"/>
        <v>0</v>
      </c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49">
        <f t="shared" si="58"/>
        <v>0</v>
      </c>
    </row>
    <row r="389" spans="1:57" ht="15" hidden="1" customHeight="1" x14ac:dyDescent="0.2">
      <c r="A389" s="36">
        <v>378</v>
      </c>
      <c r="B389" s="59"/>
      <c r="C389" s="38"/>
      <c r="D389" s="38" t="e">
        <f>VLOOKUP(C389,Planilha1!$J$2:$L$206,3,)</f>
        <v>#N/A</v>
      </c>
      <c r="E389" s="39"/>
      <c r="F389" s="40"/>
      <c r="G389" s="49"/>
      <c r="H389" s="60">
        <f t="shared" si="51"/>
        <v>0</v>
      </c>
      <c r="I389" s="49">
        <f t="shared" si="52"/>
        <v>0</v>
      </c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49">
        <f t="shared" si="53"/>
        <v>0</v>
      </c>
      <c r="V389" s="29">
        <f t="shared" si="54"/>
        <v>0</v>
      </c>
      <c r="W389" s="29">
        <f t="shared" si="55"/>
        <v>0</v>
      </c>
      <c r="X389" s="61">
        <f t="shared" si="56"/>
        <v>0</v>
      </c>
      <c r="Y389" s="61"/>
      <c r="Z389" s="61"/>
      <c r="AA389" s="61"/>
      <c r="AB389" s="61"/>
      <c r="AC389" s="61"/>
      <c r="AD389" s="61"/>
      <c r="AE389" s="49">
        <f t="shared" si="57"/>
        <v>0</v>
      </c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49">
        <f t="shared" si="58"/>
        <v>0</v>
      </c>
    </row>
    <row r="390" spans="1:57" ht="15" hidden="1" customHeight="1" x14ac:dyDescent="0.2">
      <c r="A390" s="36">
        <v>379</v>
      </c>
      <c r="B390" s="59"/>
      <c r="C390" s="38"/>
      <c r="D390" s="38" t="e">
        <f>VLOOKUP(C390,Planilha1!$J$2:$L$206,3,)</f>
        <v>#N/A</v>
      </c>
      <c r="E390" s="39"/>
      <c r="F390" s="40"/>
      <c r="G390" s="49"/>
      <c r="H390" s="60">
        <f t="shared" si="51"/>
        <v>0</v>
      </c>
      <c r="I390" s="49">
        <f t="shared" si="52"/>
        <v>0</v>
      </c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49">
        <f t="shared" si="53"/>
        <v>0</v>
      </c>
      <c r="V390" s="29">
        <f t="shared" si="54"/>
        <v>0</v>
      </c>
      <c r="W390" s="29">
        <f t="shared" si="55"/>
        <v>0</v>
      </c>
      <c r="X390" s="61">
        <f t="shared" si="56"/>
        <v>0</v>
      </c>
      <c r="Y390" s="61"/>
      <c r="Z390" s="61"/>
      <c r="AA390" s="61"/>
      <c r="AB390" s="61"/>
      <c r="AC390" s="61"/>
      <c r="AD390" s="61"/>
      <c r="AE390" s="49">
        <f t="shared" si="57"/>
        <v>0</v>
      </c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49">
        <f t="shared" si="58"/>
        <v>0</v>
      </c>
    </row>
    <row r="391" spans="1:57" ht="15" hidden="1" customHeight="1" x14ac:dyDescent="0.2">
      <c r="A391" s="36">
        <v>380</v>
      </c>
      <c r="B391" s="59"/>
      <c r="C391" s="38"/>
      <c r="D391" s="38" t="e">
        <f>VLOOKUP(C391,Planilha1!$J$2:$L$206,3,)</f>
        <v>#N/A</v>
      </c>
      <c r="E391" s="39"/>
      <c r="F391" s="40"/>
      <c r="G391" s="49"/>
      <c r="H391" s="60">
        <f t="shared" si="51"/>
        <v>0</v>
      </c>
      <c r="I391" s="49">
        <f t="shared" si="52"/>
        <v>0</v>
      </c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49">
        <f t="shared" si="53"/>
        <v>0</v>
      </c>
      <c r="V391" s="29">
        <f t="shared" si="54"/>
        <v>0</v>
      </c>
      <c r="W391" s="29">
        <f t="shared" si="55"/>
        <v>0</v>
      </c>
      <c r="X391" s="61">
        <f t="shared" si="56"/>
        <v>0</v>
      </c>
      <c r="Y391" s="61"/>
      <c r="Z391" s="61"/>
      <c r="AA391" s="61"/>
      <c r="AB391" s="61"/>
      <c r="AC391" s="61"/>
      <c r="AD391" s="61"/>
      <c r="AE391" s="49">
        <f t="shared" si="57"/>
        <v>0</v>
      </c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49">
        <f t="shared" si="58"/>
        <v>0</v>
      </c>
    </row>
    <row r="392" spans="1:57" ht="15" hidden="1" customHeight="1" x14ac:dyDescent="0.2">
      <c r="A392" s="36">
        <v>381</v>
      </c>
      <c r="B392" s="59"/>
      <c r="C392" s="38"/>
      <c r="D392" s="38" t="e">
        <f>VLOOKUP(C392,Planilha1!$J$2:$L$206,3,)</f>
        <v>#N/A</v>
      </c>
      <c r="E392" s="39"/>
      <c r="F392" s="40"/>
      <c r="G392" s="49"/>
      <c r="H392" s="60">
        <f t="shared" si="51"/>
        <v>0</v>
      </c>
      <c r="I392" s="49">
        <f t="shared" si="52"/>
        <v>0</v>
      </c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49">
        <f t="shared" si="53"/>
        <v>0</v>
      </c>
      <c r="V392" s="29">
        <f t="shared" si="54"/>
        <v>0</v>
      </c>
      <c r="W392" s="29">
        <f t="shared" si="55"/>
        <v>0</v>
      </c>
      <c r="X392" s="61">
        <f t="shared" si="56"/>
        <v>0</v>
      </c>
      <c r="Y392" s="61"/>
      <c r="Z392" s="61"/>
      <c r="AA392" s="61"/>
      <c r="AB392" s="61"/>
      <c r="AC392" s="61"/>
      <c r="AD392" s="61"/>
      <c r="AE392" s="49">
        <f t="shared" si="57"/>
        <v>0</v>
      </c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49">
        <f t="shared" si="58"/>
        <v>0</v>
      </c>
    </row>
    <row r="393" spans="1:57" ht="15" hidden="1" customHeight="1" x14ac:dyDescent="0.2">
      <c r="A393" s="36">
        <v>382</v>
      </c>
      <c r="B393" s="59"/>
      <c r="C393" s="38"/>
      <c r="D393" s="38" t="e">
        <f>VLOOKUP(C393,Planilha1!$J$2:$L$206,3,)</f>
        <v>#N/A</v>
      </c>
      <c r="E393" s="39"/>
      <c r="F393" s="40"/>
      <c r="G393" s="49"/>
      <c r="H393" s="60">
        <f t="shared" si="51"/>
        <v>0</v>
      </c>
      <c r="I393" s="49">
        <f t="shared" si="52"/>
        <v>0</v>
      </c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49">
        <f t="shared" si="53"/>
        <v>0</v>
      </c>
      <c r="V393" s="29">
        <f t="shared" si="54"/>
        <v>0</v>
      </c>
      <c r="W393" s="29">
        <f t="shared" si="55"/>
        <v>0</v>
      </c>
      <c r="X393" s="61">
        <f t="shared" si="56"/>
        <v>0</v>
      </c>
      <c r="Y393" s="61"/>
      <c r="Z393" s="61"/>
      <c r="AA393" s="61"/>
      <c r="AB393" s="61"/>
      <c r="AC393" s="61"/>
      <c r="AD393" s="61"/>
      <c r="AE393" s="49">
        <f t="shared" si="57"/>
        <v>0</v>
      </c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49">
        <f t="shared" si="58"/>
        <v>0</v>
      </c>
    </row>
    <row r="394" spans="1:57" ht="15" hidden="1" customHeight="1" x14ac:dyDescent="0.2">
      <c r="A394" s="36">
        <v>383</v>
      </c>
      <c r="B394" s="59"/>
      <c r="C394" s="38"/>
      <c r="D394" s="38" t="e">
        <f>VLOOKUP(C394,Planilha1!$J$2:$L$206,3,)</f>
        <v>#N/A</v>
      </c>
      <c r="E394" s="39"/>
      <c r="F394" s="40"/>
      <c r="G394" s="49"/>
      <c r="H394" s="60">
        <f t="shared" si="51"/>
        <v>0</v>
      </c>
      <c r="I394" s="49">
        <f t="shared" si="52"/>
        <v>0</v>
      </c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49">
        <f t="shared" si="53"/>
        <v>0</v>
      </c>
      <c r="V394" s="29">
        <f t="shared" si="54"/>
        <v>0</v>
      </c>
      <c r="W394" s="29">
        <f t="shared" si="55"/>
        <v>0</v>
      </c>
      <c r="X394" s="61">
        <f t="shared" si="56"/>
        <v>0</v>
      </c>
      <c r="Y394" s="61"/>
      <c r="Z394" s="61"/>
      <c r="AA394" s="61"/>
      <c r="AB394" s="61"/>
      <c r="AC394" s="61"/>
      <c r="AD394" s="61"/>
      <c r="AE394" s="49">
        <f t="shared" si="57"/>
        <v>0</v>
      </c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49">
        <f t="shared" si="58"/>
        <v>0</v>
      </c>
    </row>
    <row r="395" spans="1:57" ht="15" hidden="1" customHeight="1" x14ac:dyDescent="0.2">
      <c r="A395" s="36">
        <v>384</v>
      </c>
      <c r="B395" s="59"/>
      <c r="C395" s="38"/>
      <c r="D395" s="38" t="e">
        <f>VLOOKUP(C395,Planilha1!$J$2:$L$206,3,)</f>
        <v>#N/A</v>
      </c>
      <c r="E395" s="39"/>
      <c r="F395" s="40"/>
      <c r="G395" s="49"/>
      <c r="H395" s="60">
        <f t="shared" si="51"/>
        <v>0</v>
      </c>
      <c r="I395" s="49">
        <f t="shared" si="52"/>
        <v>0</v>
      </c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49">
        <f t="shared" si="53"/>
        <v>0</v>
      </c>
      <c r="V395" s="29">
        <f t="shared" si="54"/>
        <v>0</v>
      </c>
      <c r="W395" s="29">
        <f t="shared" si="55"/>
        <v>0</v>
      </c>
      <c r="X395" s="61">
        <f t="shared" si="56"/>
        <v>0</v>
      </c>
      <c r="Y395" s="61"/>
      <c r="Z395" s="61"/>
      <c r="AA395" s="61"/>
      <c r="AB395" s="61"/>
      <c r="AC395" s="61"/>
      <c r="AD395" s="61"/>
      <c r="AE395" s="49">
        <f t="shared" si="57"/>
        <v>0</v>
      </c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49">
        <f t="shared" si="58"/>
        <v>0</v>
      </c>
    </row>
    <row r="396" spans="1:57" ht="15" hidden="1" customHeight="1" x14ac:dyDescent="0.2">
      <c r="A396" s="36">
        <v>385</v>
      </c>
      <c r="B396" s="59"/>
      <c r="C396" s="38"/>
      <c r="D396" s="38" t="e">
        <f>VLOOKUP(C396,Planilha1!$J$2:$L$206,3,)</f>
        <v>#N/A</v>
      </c>
      <c r="E396" s="39"/>
      <c r="F396" s="40"/>
      <c r="G396" s="49"/>
      <c r="H396" s="60">
        <f t="shared" si="51"/>
        <v>0</v>
      </c>
      <c r="I396" s="49">
        <f t="shared" si="52"/>
        <v>0</v>
      </c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49">
        <f t="shared" si="53"/>
        <v>0</v>
      </c>
      <c r="V396" s="29">
        <f t="shared" si="54"/>
        <v>0</v>
      </c>
      <c r="W396" s="29">
        <f t="shared" si="55"/>
        <v>0</v>
      </c>
      <c r="X396" s="61">
        <f t="shared" si="56"/>
        <v>0</v>
      </c>
      <c r="Y396" s="61"/>
      <c r="Z396" s="61"/>
      <c r="AA396" s="61"/>
      <c r="AB396" s="61"/>
      <c r="AC396" s="61"/>
      <c r="AD396" s="61"/>
      <c r="AE396" s="49">
        <f t="shared" si="57"/>
        <v>0</v>
      </c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49">
        <f t="shared" si="58"/>
        <v>0</v>
      </c>
    </row>
    <row r="397" spans="1:57" ht="15" hidden="1" customHeight="1" x14ac:dyDescent="0.2">
      <c r="A397" s="36">
        <v>386</v>
      </c>
      <c r="B397" s="59"/>
      <c r="C397" s="38"/>
      <c r="D397" s="38" t="e">
        <f>VLOOKUP(C397,Planilha1!$J$2:$L$206,3,)</f>
        <v>#N/A</v>
      </c>
      <c r="E397" s="39"/>
      <c r="F397" s="40"/>
      <c r="G397" s="49"/>
      <c r="H397" s="60">
        <f t="shared" si="51"/>
        <v>0</v>
      </c>
      <c r="I397" s="49">
        <f t="shared" si="52"/>
        <v>0</v>
      </c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49">
        <f t="shared" si="53"/>
        <v>0</v>
      </c>
      <c r="V397" s="29">
        <f t="shared" si="54"/>
        <v>0</v>
      </c>
      <c r="W397" s="29">
        <f t="shared" si="55"/>
        <v>0</v>
      </c>
      <c r="X397" s="61">
        <f t="shared" si="56"/>
        <v>0</v>
      </c>
      <c r="Y397" s="61"/>
      <c r="Z397" s="61"/>
      <c r="AA397" s="61"/>
      <c r="AB397" s="61"/>
      <c r="AC397" s="61"/>
      <c r="AD397" s="61"/>
      <c r="AE397" s="49">
        <f t="shared" si="57"/>
        <v>0</v>
      </c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49">
        <f t="shared" si="58"/>
        <v>0</v>
      </c>
    </row>
    <row r="398" spans="1:57" ht="15" hidden="1" customHeight="1" x14ac:dyDescent="0.2">
      <c r="A398" s="36">
        <v>387</v>
      </c>
      <c r="B398" s="59"/>
      <c r="C398" s="38"/>
      <c r="D398" s="38" t="e">
        <f>VLOOKUP(C398,Planilha1!$J$2:$L$206,3,)</f>
        <v>#N/A</v>
      </c>
      <c r="E398" s="39"/>
      <c r="F398" s="40"/>
      <c r="G398" s="49"/>
      <c r="H398" s="60">
        <f t="shared" si="51"/>
        <v>0</v>
      </c>
      <c r="I398" s="49">
        <f t="shared" si="52"/>
        <v>0</v>
      </c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49">
        <f t="shared" si="53"/>
        <v>0</v>
      </c>
      <c r="V398" s="29">
        <f t="shared" si="54"/>
        <v>0</v>
      </c>
      <c r="W398" s="29">
        <f t="shared" si="55"/>
        <v>0</v>
      </c>
      <c r="X398" s="61">
        <f t="shared" si="56"/>
        <v>0</v>
      </c>
      <c r="Y398" s="61"/>
      <c r="Z398" s="61"/>
      <c r="AA398" s="61"/>
      <c r="AB398" s="61"/>
      <c r="AC398" s="61"/>
      <c r="AD398" s="61"/>
      <c r="AE398" s="49">
        <f t="shared" si="57"/>
        <v>0</v>
      </c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49">
        <f t="shared" si="58"/>
        <v>0</v>
      </c>
    </row>
    <row r="399" spans="1:57" ht="15" hidden="1" customHeight="1" x14ac:dyDescent="0.2">
      <c r="A399" s="36">
        <v>388</v>
      </c>
      <c r="B399" s="59"/>
      <c r="C399" s="38"/>
      <c r="D399" s="38" t="e">
        <f>VLOOKUP(C399,Planilha1!$J$2:$L$206,3,)</f>
        <v>#N/A</v>
      </c>
      <c r="E399" s="39"/>
      <c r="F399" s="40"/>
      <c r="G399" s="49"/>
      <c r="H399" s="60">
        <f t="shared" si="51"/>
        <v>0</v>
      </c>
      <c r="I399" s="49">
        <f t="shared" si="52"/>
        <v>0</v>
      </c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49">
        <f t="shared" si="53"/>
        <v>0</v>
      </c>
      <c r="V399" s="29">
        <f t="shared" si="54"/>
        <v>0</v>
      </c>
      <c r="W399" s="29">
        <f t="shared" si="55"/>
        <v>0</v>
      </c>
      <c r="X399" s="61">
        <f t="shared" si="56"/>
        <v>0</v>
      </c>
      <c r="Y399" s="61"/>
      <c r="Z399" s="61"/>
      <c r="AA399" s="61"/>
      <c r="AB399" s="61"/>
      <c r="AC399" s="61"/>
      <c r="AD399" s="61"/>
      <c r="AE399" s="49">
        <f t="shared" si="57"/>
        <v>0</v>
      </c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49">
        <f t="shared" si="58"/>
        <v>0</v>
      </c>
    </row>
    <row r="400" spans="1:57" ht="15" hidden="1" customHeight="1" x14ac:dyDescent="0.2">
      <c r="A400" s="36">
        <v>389</v>
      </c>
      <c r="B400" s="59"/>
      <c r="C400" s="38"/>
      <c r="D400" s="38" t="e">
        <f>VLOOKUP(C400,Planilha1!$J$2:$L$206,3,)</f>
        <v>#N/A</v>
      </c>
      <c r="E400" s="39"/>
      <c r="F400" s="40"/>
      <c r="G400" s="49"/>
      <c r="H400" s="60">
        <f t="shared" si="51"/>
        <v>0</v>
      </c>
      <c r="I400" s="49">
        <f t="shared" si="52"/>
        <v>0</v>
      </c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49">
        <f t="shared" si="53"/>
        <v>0</v>
      </c>
      <c r="V400" s="29">
        <f t="shared" si="54"/>
        <v>0</v>
      </c>
      <c r="W400" s="29">
        <f t="shared" si="55"/>
        <v>0</v>
      </c>
      <c r="X400" s="61">
        <f t="shared" si="56"/>
        <v>0</v>
      </c>
      <c r="Y400" s="61"/>
      <c r="Z400" s="61"/>
      <c r="AA400" s="61"/>
      <c r="AB400" s="61"/>
      <c r="AC400" s="61"/>
      <c r="AD400" s="61"/>
      <c r="AE400" s="49">
        <f t="shared" si="57"/>
        <v>0</v>
      </c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49">
        <f t="shared" si="58"/>
        <v>0</v>
      </c>
    </row>
    <row r="401" spans="1:57" ht="15" hidden="1" customHeight="1" x14ac:dyDescent="0.2">
      <c r="A401" s="36">
        <v>390</v>
      </c>
      <c r="B401" s="59"/>
      <c r="C401" s="38"/>
      <c r="D401" s="38" t="e">
        <f>VLOOKUP(C401,Planilha1!$J$2:$L$206,3,)</f>
        <v>#N/A</v>
      </c>
      <c r="E401" s="39"/>
      <c r="F401" s="40"/>
      <c r="G401" s="49"/>
      <c r="H401" s="60">
        <f t="shared" si="51"/>
        <v>0</v>
      </c>
      <c r="I401" s="49">
        <f t="shared" si="52"/>
        <v>0</v>
      </c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49">
        <f t="shared" si="53"/>
        <v>0</v>
      </c>
      <c r="V401" s="29">
        <f t="shared" si="54"/>
        <v>0</v>
      </c>
      <c r="W401" s="29">
        <f t="shared" si="55"/>
        <v>0</v>
      </c>
      <c r="X401" s="61">
        <f t="shared" si="56"/>
        <v>0</v>
      </c>
      <c r="Y401" s="61"/>
      <c r="Z401" s="61"/>
      <c r="AA401" s="61"/>
      <c r="AB401" s="61"/>
      <c r="AC401" s="61"/>
      <c r="AD401" s="61"/>
      <c r="AE401" s="49">
        <f t="shared" si="57"/>
        <v>0</v>
      </c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49">
        <f t="shared" si="58"/>
        <v>0</v>
      </c>
    </row>
    <row r="402" spans="1:57" ht="15" hidden="1" customHeight="1" x14ac:dyDescent="0.2">
      <c r="A402" s="36">
        <v>391</v>
      </c>
      <c r="B402" s="59"/>
      <c r="C402" s="38"/>
      <c r="D402" s="38" t="e">
        <f>VLOOKUP(C402,Planilha1!$J$2:$L$206,3,)</f>
        <v>#N/A</v>
      </c>
      <c r="E402" s="39"/>
      <c r="F402" s="40"/>
      <c r="G402" s="49"/>
      <c r="H402" s="60">
        <f t="shared" si="51"/>
        <v>0</v>
      </c>
      <c r="I402" s="49">
        <f t="shared" si="52"/>
        <v>0</v>
      </c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49">
        <f t="shared" si="53"/>
        <v>0</v>
      </c>
      <c r="V402" s="29">
        <f t="shared" si="54"/>
        <v>0</v>
      </c>
      <c r="W402" s="29">
        <f t="shared" si="55"/>
        <v>0</v>
      </c>
      <c r="X402" s="61">
        <f t="shared" si="56"/>
        <v>0</v>
      </c>
      <c r="Y402" s="61"/>
      <c r="Z402" s="61"/>
      <c r="AA402" s="61"/>
      <c r="AB402" s="61"/>
      <c r="AC402" s="61"/>
      <c r="AD402" s="61"/>
      <c r="AE402" s="49">
        <f t="shared" si="57"/>
        <v>0</v>
      </c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49">
        <f t="shared" si="58"/>
        <v>0</v>
      </c>
    </row>
    <row r="403" spans="1:57" ht="15" hidden="1" customHeight="1" x14ac:dyDescent="0.2">
      <c r="A403" s="36">
        <v>392</v>
      </c>
      <c r="B403" s="59"/>
      <c r="C403" s="38"/>
      <c r="D403" s="38" t="e">
        <f>VLOOKUP(C403,Planilha1!$J$2:$L$206,3,)</f>
        <v>#N/A</v>
      </c>
      <c r="E403" s="39"/>
      <c r="F403" s="40"/>
      <c r="G403" s="49"/>
      <c r="H403" s="60">
        <f t="shared" si="51"/>
        <v>0</v>
      </c>
      <c r="I403" s="49">
        <f t="shared" si="52"/>
        <v>0</v>
      </c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49">
        <f t="shared" si="53"/>
        <v>0</v>
      </c>
      <c r="V403" s="29">
        <f t="shared" si="54"/>
        <v>0</v>
      </c>
      <c r="W403" s="29">
        <f t="shared" si="55"/>
        <v>0</v>
      </c>
      <c r="X403" s="61">
        <f t="shared" si="56"/>
        <v>0</v>
      </c>
      <c r="Y403" s="61"/>
      <c r="Z403" s="61"/>
      <c r="AA403" s="61"/>
      <c r="AB403" s="61"/>
      <c r="AC403" s="61"/>
      <c r="AD403" s="61"/>
      <c r="AE403" s="49">
        <f t="shared" si="57"/>
        <v>0</v>
      </c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49">
        <f t="shared" si="58"/>
        <v>0</v>
      </c>
    </row>
    <row r="404" spans="1:57" ht="15" hidden="1" customHeight="1" x14ac:dyDescent="0.2">
      <c r="A404" s="36">
        <v>393</v>
      </c>
      <c r="B404" s="59"/>
      <c r="C404" s="38"/>
      <c r="D404" s="38" t="e">
        <f>VLOOKUP(C404,Planilha1!$J$2:$L$206,3,)</f>
        <v>#N/A</v>
      </c>
      <c r="E404" s="39"/>
      <c r="F404" s="40"/>
      <c r="G404" s="49"/>
      <c r="H404" s="60">
        <f t="shared" si="51"/>
        <v>0</v>
      </c>
      <c r="I404" s="49">
        <f t="shared" si="52"/>
        <v>0</v>
      </c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49">
        <f t="shared" si="53"/>
        <v>0</v>
      </c>
      <c r="V404" s="29">
        <f t="shared" si="54"/>
        <v>0</v>
      </c>
      <c r="W404" s="29">
        <f t="shared" si="55"/>
        <v>0</v>
      </c>
      <c r="X404" s="61">
        <f t="shared" si="56"/>
        <v>0</v>
      </c>
      <c r="Y404" s="61"/>
      <c r="Z404" s="61"/>
      <c r="AA404" s="61"/>
      <c r="AB404" s="61"/>
      <c r="AC404" s="61"/>
      <c r="AD404" s="61"/>
      <c r="AE404" s="49">
        <f t="shared" si="57"/>
        <v>0</v>
      </c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49">
        <f t="shared" si="58"/>
        <v>0</v>
      </c>
    </row>
    <row r="405" spans="1:57" ht="15" hidden="1" customHeight="1" x14ac:dyDescent="0.2">
      <c r="A405" s="36">
        <v>394</v>
      </c>
      <c r="B405" s="59"/>
      <c r="C405" s="38"/>
      <c r="D405" s="38" t="e">
        <f>VLOOKUP(C405,Planilha1!$J$2:$L$206,3,)</f>
        <v>#N/A</v>
      </c>
      <c r="E405" s="39"/>
      <c r="F405" s="40"/>
      <c r="G405" s="49"/>
      <c r="H405" s="60">
        <f t="shared" si="51"/>
        <v>0</v>
      </c>
      <c r="I405" s="49">
        <f t="shared" si="52"/>
        <v>0</v>
      </c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49">
        <f t="shared" si="53"/>
        <v>0</v>
      </c>
      <c r="V405" s="29">
        <f t="shared" si="54"/>
        <v>0</v>
      </c>
      <c r="W405" s="29">
        <f t="shared" si="55"/>
        <v>0</v>
      </c>
      <c r="X405" s="61">
        <f t="shared" si="56"/>
        <v>0</v>
      </c>
      <c r="Y405" s="61"/>
      <c r="Z405" s="61"/>
      <c r="AA405" s="61"/>
      <c r="AB405" s="61"/>
      <c r="AC405" s="61"/>
      <c r="AD405" s="61"/>
      <c r="AE405" s="49">
        <f t="shared" si="57"/>
        <v>0</v>
      </c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49">
        <f t="shared" si="58"/>
        <v>0</v>
      </c>
    </row>
    <row r="406" spans="1:57" ht="15" hidden="1" customHeight="1" x14ac:dyDescent="0.2">
      <c r="A406" s="36">
        <v>395</v>
      </c>
      <c r="B406" s="59"/>
      <c r="C406" s="38"/>
      <c r="D406" s="38" t="e">
        <f>VLOOKUP(C406,Planilha1!$J$2:$L$206,3,)</f>
        <v>#N/A</v>
      </c>
      <c r="E406" s="39"/>
      <c r="F406" s="40"/>
      <c r="G406" s="49"/>
      <c r="H406" s="60">
        <f t="shared" si="51"/>
        <v>0</v>
      </c>
      <c r="I406" s="49">
        <f t="shared" si="52"/>
        <v>0</v>
      </c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49">
        <f t="shared" si="53"/>
        <v>0</v>
      </c>
      <c r="V406" s="29">
        <f t="shared" si="54"/>
        <v>0</v>
      </c>
      <c r="W406" s="29">
        <f t="shared" si="55"/>
        <v>0</v>
      </c>
      <c r="X406" s="61">
        <f t="shared" si="56"/>
        <v>0</v>
      </c>
      <c r="Y406" s="61"/>
      <c r="Z406" s="61"/>
      <c r="AA406" s="61"/>
      <c r="AB406" s="61"/>
      <c r="AC406" s="61"/>
      <c r="AD406" s="61"/>
      <c r="AE406" s="49">
        <f t="shared" si="57"/>
        <v>0</v>
      </c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49">
        <f t="shared" si="58"/>
        <v>0</v>
      </c>
    </row>
    <row r="407" spans="1:57" ht="15" hidden="1" customHeight="1" x14ac:dyDescent="0.2">
      <c r="A407" s="36">
        <v>396</v>
      </c>
      <c r="B407" s="59"/>
      <c r="C407" s="38"/>
      <c r="D407" s="38" t="e">
        <f>VLOOKUP(C407,Planilha1!$J$2:$L$206,3,)</f>
        <v>#N/A</v>
      </c>
      <c r="E407" s="39"/>
      <c r="F407" s="40"/>
      <c r="G407" s="49"/>
      <c r="H407" s="60">
        <f t="shared" si="51"/>
        <v>0</v>
      </c>
      <c r="I407" s="49">
        <f t="shared" si="52"/>
        <v>0</v>
      </c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49">
        <f t="shared" si="53"/>
        <v>0</v>
      </c>
      <c r="V407" s="29">
        <f t="shared" si="54"/>
        <v>0</v>
      </c>
      <c r="W407" s="29">
        <f t="shared" si="55"/>
        <v>0</v>
      </c>
      <c r="X407" s="61">
        <f t="shared" si="56"/>
        <v>0</v>
      </c>
      <c r="Y407" s="61"/>
      <c r="Z407" s="61"/>
      <c r="AA407" s="61"/>
      <c r="AB407" s="61"/>
      <c r="AC407" s="61"/>
      <c r="AD407" s="61"/>
      <c r="AE407" s="49">
        <f t="shared" si="57"/>
        <v>0</v>
      </c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49">
        <f t="shared" si="58"/>
        <v>0</v>
      </c>
    </row>
    <row r="408" spans="1:57" ht="15" hidden="1" customHeight="1" x14ac:dyDescent="0.2">
      <c r="A408" s="36">
        <v>397</v>
      </c>
      <c r="B408" s="59"/>
      <c r="C408" s="38"/>
      <c r="D408" s="38" t="e">
        <f>VLOOKUP(C408,Planilha1!$J$2:$L$206,3,)</f>
        <v>#N/A</v>
      </c>
      <c r="E408" s="39"/>
      <c r="F408" s="40"/>
      <c r="G408" s="49"/>
      <c r="H408" s="60">
        <f t="shared" si="51"/>
        <v>0</v>
      </c>
      <c r="I408" s="49">
        <f t="shared" si="52"/>
        <v>0</v>
      </c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49">
        <f t="shared" si="53"/>
        <v>0</v>
      </c>
      <c r="V408" s="29">
        <f t="shared" si="54"/>
        <v>0</v>
      </c>
      <c r="W408" s="29">
        <f t="shared" si="55"/>
        <v>0</v>
      </c>
      <c r="X408" s="61">
        <f t="shared" si="56"/>
        <v>0</v>
      </c>
      <c r="Y408" s="61"/>
      <c r="Z408" s="61"/>
      <c r="AA408" s="61"/>
      <c r="AB408" s="61"/>
      <c r="AC408" s="61"/>
      <c r="AD408" s="61"/>
      <c r="AE408" s="49">
        <f t="shared" si="57"/>
        <v>0</v>
      </c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49">
        <f t="shared" si="58"/>
        <v>0</v>
      </c>
    </row>
    <row r="409" spans="1:57" ht="15" hidden="1" customHeight="1" x14ac:dyDescent="0.2">
      <c r="A409" s="36">
        <v>398</v>
      </c>
      <c r="B409" s="59"/>
      <c r="C409" s="38"/>
      <c r="D409" s="38" t="e">
        <f>VLOOKUP(C409,Planilha1!$J$2:$L$206,3,)</f>
        <v>#N/A</v>
      </c>
      <c r="E409" s="39"/>
      <c r="F409" s="40"/>
      <c r="G409" s="49"/>
      <c r="H409" s="60">
        <f t="shared" si="51"/>
        <v>0</v>
      </c>
      <c r="I409" s="49">
        <f t="shared" si="52"/>
        <v>0</v>
      </c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49">
        <f t="shared" si="53"/>
        <v>0</v>
      </c>
      <c r="V409" s="29">
        <f t="shared" si="54"/>
        <v>0</v>
      </c>
      <c r="W409" s="29">
        <f t="shared" si="55"/>
        <v>0</v>
      </c>
      <c r="X409" s="61">
        <f t="shared" si="56"/>
        <v>0</v>
      </c>
      <c r="Y409" s="61"/>
      <c r="Z409" s="61"/>
      <c r="AA409" s="61"/>
      <c r="AB409" s="61"/>
      <c r="AC409" s="61"/>
      <c r="AD409" s="61"/>
      <c r="AE409" s="49">
        <f t="shared" si="57"/>
        <v>0</v>
      </c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49">
        <f t="shared" si="58"/>
        <v>0</v>
      </c>
    </row>
    <row r="410" spans="1:57" ht="15" hidden="1" customHeight="1" x14ac:dyDescent="0.2">
      <c r="A410" s="36">
        <v>399</v>
      </c>
      <c r="B410" s="59"/>
      <c r="C410" s="38"/>
      <c r="D410" s="38" t="e">
        <f>VLOOKUP(C410,Planilha1!$J$2:$L$206,3,)</f>
        <v>#N/A</v>
      </c>
      <c r="E410" s="39"/>
      <c r="F410" s="40"/>
      <c r="G410" s="49"/>
      <c r="H410" s="60">
        <f t="shared" si="51"/>
        <v>0</v>
      </c>
      <c r="I410" s="49">
        <f t="shared" si="52"/>
        <v>0</v>
      </c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49">
        <f t="shared" si="53"/>
        <v>0</v>
      </c>
      <c r="V410" s="29">
        <f t="shared" si="54"/>
        <v>0</v>
      </c>
      <c r="W410" s="29">
        <f t="shared" si="55"/>
        <v>0</v>
      </c>
      <c r="X410" s="61">
        <f t="shared" si="56"/>
        <v>0</v>
      </c>
      <c r="Y410" s="61"/>
      <c r="Z410" s="61"/>
      <c r="AA410" s="61"/>
      <c r="AB410" s="61"/>
      <c r="AC410" s="61"/>
      <c r="AD410" s="61"/>
      <c r="AE410" s="49">
        <f t="shared" si="57"/>
        <v>0</v>
      </c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49">
        <f t="shared" si="58"/>
        <v>0</v>
      </c>
    </row>
    <row r="411" spans="1:57" ht="15" hidden="1" customHeight="1" x14ac:dyDescent="0.2">
      <c r="A411" s="36">
        <v>400</v>
      </c>
      <c r="B411" s="59"/>
      <c r="C411" s="38"/>
      <c r="D411" s="38" t="e">
        <f>VLOOKUP(C411,Planilha1!$J$2:$L$206,3,)</f>
        <v>#N/A</v>
      </c>
      <c r="E411" s="39"/>
      <c r="F411" s="40"/>
      <c r="G411" s="49"/>
      <c r="H411" s="60">
        <f t="shared" si="51"/>
        <v>0</v>
      </c>
      <c r="I411" s="49">
        <f t="shared" si="52"/>
        <v>0</v>
      </c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49">
        <f t="shared" si="53"/>
        <v>0</v>
      </c>
      <c r="V411" s="29">
        <f t="shared" si="54"/>
        <v>0</v>
      </c>
      <c r="W411" s="29">
        <f t="shared" si="55"/>
        <v>0</v>
      </c>
      <c r="X411" s="61">
        <f t="shared" si="56"/>
        <v>0</v>
      </c>
      <c r="Y411" s="61"/>
      <c r="Z411" s="61"/>
      <c r="AA411" s="61"/>
      <c r="AB411" s="61"/>
      <c r="AC411" s="61"/>
      <c r="AD411" s="61"/>
      <c r="AE411" s="49">
        <f t="shared" si="57"/>
        <v>0</v>
      </c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49">
        <f t="shared" si="58"/>
        <v>0</v>
      </c>
    </row>
    <row r="412" spans="1:57" ht="15" hidden="1" customHeight="1" x14ac:dyDescent="0.2">
      <c r="A412" s="36">
        <v>401</v>
      </c>
      <c r="B412" s="59"/>
      <c r="C412" s="38"/>
      <c r="D412" s="38" t="e">
        <f>VLOOKUP(C412,Planilha1!$J$2:$L$206,3,)</f>
        <v>#N/A</v>
      </c>
      <c r="E412" s="39"/>
      <c r="F412" s="40"/>
      <c r="G412" s="49"/>
      <c r="H412" s="60">
        <f t="shared" si="51"/>
        <v>0</v>
      </c>
      <c r="I412" s="49">
        <f t="shared" si="52"/>
        <v>0</v>
      </c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49">
        <f t="shared" si="53"/>
        <v>0</v>
      </c>
      <c r="V412" s="29">
        <f t="shared" si="54"/>
        <v>0</v>
      </c>
      <c r="W412" s="29">
        <f t="shared" si="55"/>
        <v>0</v>
      </c>
      <c r="X412" s="61">
        <f t="shared" si="56"/>
        <v>0</v>
      </c>
      <c r="Y412" s="61"/>
      <c r="Z412" s="61"/>
      <c r="AA412" s="61"/>
      <c r="AB412" s="61"/>
      <c r="AC412" s="61"/>
      <c r="AD412" s="61"/>
      <c r="AE412" s="49">
        <f t="shared" si="57"/>
        <v>0</v>
      </c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49">
        <f t="shared" si="58"/>
        <v>0</v>
      </c>
    </row>
    <row r="413" spans="1:57" ht="15" hidden="1" customHeight="1" x14ac:dyDescent="0.2">
      <c r="A413" s="36">
        <v>402</v>
      </c>
      <c r="B413" s="59"/>
      <c r="C413" s="38"/>
      <c r="D413" s="38" t="e">
        <f>VLOOKUP(C413,Planilha1!$J$2:$L$206,3,)</f>
        <v>#N/A</v>
      </c>
      <c r="E413" s="39"/>
      <c r="F413" s="40"/>
      <c r="G413" s="49"/>
      <c r="H413" s="60">
        <f t="shared" si="51"/>
        <v>0</v>
      </c>
      <c r="I413" s="49">
        <f t="shared" si="52"/>
        <v>0</v>
      </c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49">
        <f t="shared" si="53"/>
        <v>0</v>
      </c>
      <c r="V413" s="29">
        <f t="shared" si="54"/>
        <v>0</v>
      </c>
      <c r="W413" s="29">
        <f t="shared" si="55"/>
        <v>0</v>
      </c>
      <c r="X413" s="61">
        <f t="shared" si="56"/>
        <v>0</v>
      </c>
      <c r="Y413" s="61"/>
      <c r="Z413" s="61"/>
      <c r="AA413" s="61"/>
      <c r="AB413" s="61"/>
      <c r="AC413" s="61"/>
      <c r="AD413" s="61"/>
      <c r="AE413" s="49">
        <f t="shared" si="57"/>
        <v>0</v>
      </c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49">
        <f t="shared" si="58"/>
        <v>0</v>
      </c>
    </row>
    <row r="414" spans="1:57" ht="15" hidden="1" customHeight="1" x14ac:dyDescent="0.2">
      <c r="A414" s="36">
        <v>403</v>
      </c>
      <c r="B414" s="59"/>
      <c r="C414" s="38"/>
      <c r="D414" s="38" t="e">
        <f>VLOOKUP(C414,Planilha1!$J$2:$L$206,3,)</f>
        <v>#N/A</v>
      </c>
      <c r="E414" s="39"/>
      <c r="F414" s="40"/>
      <c r="G414" s="49"/>
      <c r="H414" s="60">
        <f t="shared" si="51"/>
        <v>0</v>
      </c>
      <c r="I414" s="49">
        <f t="shared" si="52"/>
        <v>0</v>
      </c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49">
        <f t="shared" si="53"/>
        <v>0</v>
      </c>
      <c r="V414" s="29">
        <f t="shared" si="54"/>
        <v>0</v>
      </c>
      <c r="W414" s="29">
        <f t="shared" si="55"/>
        <v>0</v>
      </c>
      <c r="X414" s="61">
        <f t="shared" si="56"/>
        <v>0</v>
      </c>
      <c r="Y414" s="61"/>
      <c r="Z414" s="61"/>
      <c r="AA414" s="61"/>
      <c r="AB414" s="61"/>
      <c r="AC414" s="61"/>
      <c r="AD414" s="61"/>
      <c r="AE414" s="49">
        <f t="shared" si="57"/>
        <v>0</v>
      </c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49">
        <f t="shared" si="58"/>
        <v>0</v>
      </c>
    </row>
    <row r="415" spans="1:57" ht="15" customHeight="1" thickBot="1" x14ac:dyDescent="0.25">
      <c r="C415" s="41" t="s">
        <v>2</v>
      </c>
      <c r="D415" s="42"/>
      <c r="E415" s="43"/>
      <c r="F415" s="48">
        <f>SUM(F12:F414)</f>
        <v>2354818</v>
      </c>
      <c r="G415" s="44"/>
      <c r="H415" s="44">
        <f t="shared" ref="H415:U415" si="59">SUM(H12:H414)</f>
        <v>10246</v>
      </c>
      <c r="I415" s="44">
        <f t="shared" si="59"/>
        <v>562</v>
      </c>
      <c r="J415" s="44">
        <f t="shared" si="59"/>
        <v>0</v>
      </c>
      <c r="K415" s="44">
        <f t="shared" si="59"/>
        <v>26</v>
      </c>
      <c r="L415" s="44">
        <f t="shared" si="59"/>
        <v>22</v>
      </c>
      <c r="M415" s="44">
        <f t="shared" si="59"/>
        <v>12</v>
      </c>
      <c r="N415" s="44">
        <f t="shared" si="59"/>
        <v>1</v>
      </c>
      <c r="O415" s="44">
        <f t="shared" si="59"/>
        <v>15</v>
      </c>
      <c r="P415" s="44">
        <f t="shared" si="59"/>
        <v>113</v>
      </c>
      <c r="Q415" s="44">
        <f t="shared" si="59"/>
        <v>80</v>
      </c>
      <c r="R415" s="44">
        <f t="shared" si="59"/>
        <v>10</v>
      </c>
      <c r="S415" s="44">
        <f t="shared" si="59"/>
        <v>235</v>
      </c>
      <c r="T415" s="44">
        <f t="shared" si="59"/>
        <v>48</v>
      </c>
      <c r="U415" s="44">
        <f t="shared" si="59"/>
        <v>9684</v>
      </c>
      <c r="V415" s="45">
        <f>IF(H415,U415/H415,0)</f>
        <v>0.945149326566465</v>
      </c>
      <c r="W415" s="45">
        <f>IF(H415,I415/H415,0)</f>
        <v>5.4850673433535037E-2</v>
      </c>
      <c r="X415" s="44">
        <f>SUM(X12:X414)</f>
        <v>3180</v>
      </c>
      <c r="Y415" s="44">
        <f>SUM(Y12:Y414)</f>
        <v>255</v>
      </c>
      <c r="Z415" s="44">
        <f>SUM(Z12:Z414)</f>
        <v>286</v>
      </c>
      <c r="AA415" s="44">
        <f>SUM(AA12:AA414)</f>
        <v>2214</v>
      </c>
      <c r="AB415" s="44">
        <f>SUM(AB12:AB414)</f>
        <v>375</v>
      </c>
      <c r="AC415" s="44">
        <f t="shared" ref="AC415:AD415" si="60">SUM(AC12:AC414)</f>
        <v>50</v>
      </c>
      <c r="AD415" s="44">
        <f t="shared" si="60"/>
        <v>0</v>
      </c>
      <c r="AE415" s="44">
        <f t="shared" ref="AE415:BE415" si="61">SUM(AE12:AE414)</f>
        <v>6504</v>
      </c>
      <c r="AF415" s="44">
        <f t="shared" si="61"/>
        <v>18</v>
      </c>
      <c r="AG415" s="44">
        <f t="shared" si="61"/>
        <v>8</v>
      </c>
      <c r="AH415" s="44">
        <f t="shared" si="61"/>
        <v>35</v>
      </c>
      <c r="AI415" s="44">
        <f t="shared" si="61"/>
        <v>1</v>
      </c>
      <c r="AJ415" s="44">
        <f t="shared" si="61"/>
        <v>2408</v>
      </c>
      <c r="AK415" s="44">
        <f t="shared" si="61"/>
        <v>23</v>
      </c>
      <c r="AL415" s="44">
        <f t="shared" si="61"/>
        <v>16</v>
      </c>
      <c r="AM415" s="44">
        <f t="shared" si="61"/>
        <v>82</v>
      </c>
      <c r="AN415" s="44">
        <f t="shared" si="61"/>
        <v>1</v>
      </c>
      <c r="AO415" s="44">
        <f t="shared" si="61"/>
        <v>6</v>
      </c>
      <c r="AP415" s="44">
        <f t="shared" si="61"/>
        <v>37</v>
      </c>
      <c r="AQ415" s="44">
        <f t="shared" si="61"/>
        <v>227</v>
      </c>
      <c r="AR415" s="44">
        <f t="shared" si="61"/>
        <v>2</v>
      </c>
      <c r="AS415" s="44">
        <f t="shared" si="61"/>
        <v>22</v>
      </c>
      <c r="AT415" s="44">
        <f t="shared" si="61"/>
        <v>100</v>
      </c>
      <c r="AU415" s="44">
        <f t="shared" si="61"/>
        <v>2</v>
      </c>
      <c r="AV415" s="44">
        <f t="shared" si="61"/>
        <v>1</v>
      </c>
      <c r="AW415" s="44">
        <f t="shared" si="61"/>
        <v>2749</v>
      </c>
      <c r="AX415" s="44">
        <f t="shared" si="61"/>
        <v>6</v>
      </c>
      <c r="AY415" s="44">
        <f t="shared" si="61"/>
        <v>334</v>
      </c>
      <c r="AZ415" s="44">
        <f t="shared" si="61"/>
        <v>117</v>
      </c>
      <c r="BA415" s="44">
        <f t="shared" si="61"/>
        <v>89</v>
      </c>
      <c r="BB415" s="44">
        <f t="shared" si="61"/>
        <v>4</v>
      </c>
      <c r="BC415" s="44">
        <f t="shared" si="61"/>
        <v>210</v>
      </c>
      <c r="BD415" s="44">
        <f t="shared" si="61"/>
        <v>6</v>
      </c>
      <c r="BE415" s="46">
        <f t="shared" si="61"/>
        <v>7066</v>
      </c>
    </row>
    <row r="416" spans="1:57" ht="16" thickBot="1" x14ac:dyDescent="0.25">
      <c r="BA416" s="2"/>
      <c r="BB416" s="2"/>
      <c r="BC416" s="1"/>
    </row>
    <row r="417" spans="3:57" x14ac:dyDescent="0.2">
      <c r="C417" s="22" t="s">
        <v>9</v>
      </c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25"/>
    </row>
    <row r="418" spans="3:57" x14ac:dyDescent="0.2">
      <c r="C418" s="23"/>
      <c r="BE418" s="26"/>
    </row>
    <row r="419" spans="3:57" x14ac:dyDescent="0.2">
      <c r="C419" s="23"/>
      <c r="BE419" s="26"/>
    </row>
    <row r="420" spans="3:57" x14ac:dyDescent="0.2">
      <c r="C420" s="23"/>
      <c r="BE420" s="26"/>
    </row>
    <row r="421" spans="3:57" x14ac:dyDescent="0.2">
      <c r="C421" s="23" t="s">
        <v>81</v>
      </c>
      <c r="BE421" s="26"/>
    </row>
    <row r="422" spans="3:57" ht="16" thickBot="1" x14ac:dyDescent="0.25">
      <c r="C422" s="24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27"/>
    </row>
  </sheetData>
  <autoFilter ref="A11:BK415" xr:uid="{00000000-0001-0000-0000-000000000000}"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</autoFilter>
  <mergeCells count="13">
    <mergeCell ref="C7:L7"/>
    <mergeCell ref="J11:T11"/>
    <mergeCell ref="AF11:BD11"/>
    <mergeCell ref="C10:H10"/>
    <mergeCell ref="C6:R6"/>
    <mergeCell ref="U6:AB6"/>
    <mergeCell ref="AD6:AO6"/>
    <mergeCell ref="U7:AB7"/>
    <mergeCell ref="C3:R4"/>
    <mergeCell ref="C5:L5"/>
    <mergeCell ref="U3:AB3"/>
    <mergeCell ref="U4:AB4"/>
    <mergeCell ref="U5:AB5"/>
  </mergeCells>
  <conditionalFormatting sqref="H12:H414">
    <cfRule type="cellIs" dxfId="6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A151-D3D0-854B-96CC-4D2BE0CCB903}">
  <sheetPr>
    <pageSetUpPr fitToPage="1"/>
  </sheetPr>
  <dimension ref="A1:BK126"/>
  <sheetViews>
    <sheetView showGridLines="0" zoomScale="90" zoomScaleNormal="90" workbookViewId="0">
      <pane ySplit="11" topLeftCell="A12" activePane="bottomLeft" state="frozen"/>
      <selection pane="bottomLeft" activeCell="AF12" sqref="AF12:BD31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35" width="4.1640625" customWidth="1"/>
    <col min="36" max="36" width="5.33203125" customWidth="1"/>
    <col min="37" max="48" width="4.1640625" customWidth="1"/>
    <col min="49" max="49" width="5.33203125" customWidth="1"/>
    <col min="50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13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 t="s">
        <v>391</v>
      </c>
      <c r="C12" s="37" t="s">
        <v>90</v>
      </c>
      <c r="D12" s="38">
        <f>VLOOKUP(C12,Planilha1!$J$2:$L$206,3,)</f>
        <v>1</v>
      </c>
      <c r="E12" s="39" t="s">
        <v>91</v>
      </c>
      <c r="F12" s="40">
        <v>93556</v>
      </c>
      <c r="G12" s="49">
        <v>19</v>
      </c>
      <c r="H12" s="60">
        <f t="shared" ref="H12:H13" si="0">I12+U12</f>
        <v>202</v>
      </c>
      <c r="I12" s="49">
        <f t="shared" ref="I12:I13" si="1">SUM(J12:T12)</f>
        <v>16</v>
      </c>
      <c r="J12" s="79"/>
      <c r="K12" s="79"/>
      <c r="L12" s="79">
        <v>2</v>
      </c>
      <c r="M12" s="79">
        <v>1</v>
      </c>
      <c r="N12" s="79"/>
      <c r="O12" s="79"/>
      <c r="P12" s="79"/>
      <c r="Q12" s="79"/>
      <c r="R12" s="79"/>
      <c r="S12" s="79">
        <v>13</v>
      </c>
      <c r="T12" s="79"/>
      <c r="U12" s="49">
        <f>X12+AE12</f>
        <v>186</v>
      </c>
      <c r="V12" s="29">
        <f t="shared" ref="V12:V119" si="2">IF(H12,U12/H12,0)</f>
        <v>0.92079207920792083</v>
      </c>
      <c r="W12" s="29">
        <f t="shared" ref="W12:W119" si="3">IF(H12,I12/H12,0)</f>
        <v>7.9207920792079209E-2</v>
      </c>
      <c r="X12" s="61">
        <f>SUM(Y12:AD12)</f>
        <v>133</v>
      </c>
      <c r="Y12" s="61"/>
      <c r="Z12" s="61"/>
      <c r="AA12" s="61">
        <v>107</v>
      </c>
      <c r="AB12" s="61">
        <v>23</v>
      </c>
      <c r="AC12" s="61">
        <v>3</v>
      </c>
      <c r="AD12" s="61"/>
      <c r="AE12" s="61">
        <f t="shared" ref="AE12:AE13" si="4">SUM(AF12:BD12)</f>
        <v>53</v>
      </c>
      <c r="AF12" s="79"/>
      <c r="AG12" s="79"/>
      <c r="AH12" s="79"/>
      <c r="AI12" s="79"/>
      <c r="AJ12" s="79"/>
      <c r="AK12" s="79"/>
      <c r="AL12" s="79">
        <v>1</v>
      </c>
      <c r="AM12" s="79">
        <v>6</v>
      </c>
      <c r="AN12" s="79"/>
      <c r="AO12" s="79"/>
      <c r="AP12" s="79"/>
      <c r="AQ12" s="79">
        <v>14</v>
      </c>
      <c r="AR12" s="79"/>
      <c r="AS12" s="79"/>
      <c r="AT12" s="79">
        <v>11</v>
      </c>
      <c r="AU12" s="79"/>
      <c r="AV12" s="79"/>
      <c r="AW12" s="79"/>
      <c r="AX12" s="79"/>
      <c r="AY12" s="79">
        <v>12</v>
      </c>
      <c r="AZ12" s="79"/>
      <c r="BA12" s="79">
        <v>5</v>
      </c>
      <c r="BB12" s="79"/>
      <c r="BC12" s="79">
        <v>4</v>
      </c>
      <c r="BD12" s="79"/>
      <c r="BE12" s="49">
        <f t="shared" ref="BE12:BE13" si="5">I12+AE12</f>
        <v>69</v>
      </c>
    </row>
    <row r="13" spans="1:63" ht="15" customHeight="1" x14ac:dyDescent="0.2">
      <c r="A13" s="36">
        <v>2</v>
      </c>
      <c r="B13" s="59" t="s">
        <v>391</v>
      </c>
      <c r="C13" s="38" t="s">
        <v>92</v>
      </c>
      <c r="D13" s="38">
        <f>VLOOKUP(C13,Planilha1!$J$2:$L$206,3,)</f>
        <v>1</v>
      </c>
      <c r="E13" s="39" t="s">
        <v>91</v>
      </c>
      <c r="F13" s="40">
        <v>108606</v>
      </c>
      <c r="G13" s="49">
        <v>19</v>
      </c>
      <c r="H13" s="60">
        <f t="shared" si="0"/>
        <v>167</v>
      </c>
      <c r="I13" s="49">
        <f t="shared" si="1"/>
        <v>20</v>
      </c>
      <c r="J13" s="79"/>
      <c r="K13" s="79"/>
      <c r="L13" s="79">
        <v>9</v>
      </c>
      <c r="M13" s="79"/>
      <c r="N13" s="79"/>
      <c r="O13" s="79"/>
      <c r="P13" s="79"/>
      <c r="Q13" s="79"/>
      <c r="R13" s="79"/>
      <c r="S13" s="79">
        <v>11</v>
      </c>
      <c r="T13" s="79"/>
      <c r="U13" s="49">
        <f>X13+AE13</f>
        <v>147</v>
      </c>
      <c r="V13" s="29">
        <f t="shared" si="2"/>
        <v>0.88023952095808389</v>
      </c>
      <c r="W13" s="29">
        <f t="shared" si="3"/>
        <v>0.11976047904191617</v>
      </c>
      <c r="X13" s="61">
        <f t="shared" ref="X13:X14" si="6">SUM(Y13:AD13)</f>
        <v>103</v>
      </c>
      <c r="Y13" s="61"/>
      <c r="Z13" s="61"/>
      <c r="AA13" s="61">
        <v>77</v>
      </c>
      <c r="AB13" s="61">
        <v>22</v>
      </c>
      <c r="AC13" s="61">
        <v>4</v>
      </c>
      <c r="AD13" s="61"/>
      <c r="AE13" s="49">
        <f t="shared" si="4"/>
        <v>44</v>
      </c>
      <c r="AF13" s="79"/>
      <c r="AG13" s="79"/>
      <c r="AH13" s="79"/>
      <c r="AI13" s="79"/>
      <c r="AJ13" s="79"/>
      <c r="AK13" s="79"/>
      <c r="AL13" s="79">
        <v>1</v>
      </c>
      <c r="AM13" s="79">
        <v>12</v>
      </c>
      <c r="AN13" s="79"/>
      <c r="AO13" s="79"/>
      <c r="AP13" s="79"/>
      <c r="AQ13" s="79">
        <v>5</v>
      </c>
      <c r="AR13" s="79"/>
      <c r="AS13" s="79"/>
      <c r="AT13" s="79">
        <v>13</v>
      </c>
      <c r="AU13" s="79"/>
      <c r="AV13" s="79"/>
      <c r="AW13" s="79"/>
      <c r="AX13" s="79"/>
      <c r="AY13" s="79">
        <v>6</v>
      </c>
      <c r="AZ13" s="79"/>
      <c r="BA13" s="79">
        <v>4</v>
      </c>
      <c r="BB13" s="79"/>
      <c r="BC13" s="79">
        <v>3</v>
      </c>
      <c r="BD13" s="79"/>
      <c r="BE13" s="49">
        <f t="shared" si="5"/>
        <v>64</v>
      </c>
    </row>
    <row r="14" spans="1:63" ht="15" customHeight="1" x14ac:dyDescent="0.2">
      <c r="A14" s="36">
        <v>3</v>
      </c>
      <c r="B14" s="59" t="s">
        <v>392</v>
      </c>
      <c r="C14" s="38" t="s">
        <v>93</v>
      </c>
      <c r="D14" s="38">
        <f>VLOOKUP(C14,Planilha1!$J$2:$L$206,3,)</f>
        <v>1</v>
      </c>
      <c r="E14" s="39" t="s">
        <v>94</v>
      </c>
      <c r="F14" s="40">
        <v>59738</v>
      </c>
      <c r="G14" s="49">
        <v>14</v>
      </c>
      <c r="H14" s="60">
        <f t="shared" ref="H14:H77" si="7">I14+U14</f>
        <v>133</v>
      </c>
      <c r="I14" s="49">
        <f t="shared" ref="I14:I77" si="8">SUM(J14:T14)</f>
        <v>9</v>
      </c>
      <c r="J14" s="79"/>
      <c r="K14" s="79"/>
      <c r="L14" s="79"/>
      <c r="M14" s="79"/>
      <c r="N14" s="79"/>
      <c r="O14" s="79"/>
      <c r="P14" s="79"/>
      <c r="Q14" s="79">
        <v>1</v>
      </c>
      <c r="R14" s="79"/>
      <c r="S14" s="79">
        <v>8</v>
      </c>
      <c r="T14" s="79"/>
      <c r="U14" s="49">
        <f t="shared" ref="U14:U77" si="9">X14+AE14</f>
        <v>124</v>
      </c>
      <c r="V14" s="29">
        <f t="shared" ref="V14:V77" si="10">IF(H14,U14/H14,0)</f>
        <v>0.93233082706766912</v>
      </c>
      <c r="W14" s="29">
        <f t="shared" ref="W14:W77" si="11">IF(H14,I14/H14,0)</f>
        <v>6.7669172932330823E-2</v>
      </c>
      <c r="X14" s="61">
        <f t="shared" si="6"/>
        <v>87</v>
      </c>
      <c r="Y14" s="61"/>
      <c r="Z14" s="61"/>
      <c r="AA14" s="61">
        <v>82</v>
      </c>
      <c r="AB14" s="61">
        <v>5</v>
      </c>
      <c r="AC14" s="61"/>
      <c r="AD14" s="61"/>
      <c r="AE14" s="61">
        <f t="shared" ref="AE14:AE77" si="12">SUM(AF14:BD14)</f>
        <v>37</v>
      </c>
      <c r="AF14" s="79"/>
      <c r="AG14" s="79"/>
      <c r="AH14" s="79"/>
      <c r="AI14" s="79"/>
      <c r="AJ14" s="79">
        <v>1</v>
      </c>
      <c r="AK14" s="79"/>
      <c r="AL14" s="79">
        <v>1</v>
      </c>
      <c r="AM14" s="79">
        <v>2</v>
      </c>
      <c r="AN14" s="79"/>
      <c r="AO14" s="79"/>
      <c r="AP14" s="79"/>
      <c r="AQ14" s="79">
        <v>10</v>
      </c>
      <c r="AR14" s="79"/>
      <c r="AS14" s="79"/>
      <c r="AT14" s="79">
        <v>3</v>
      </c>
      <c r="AU14" s="79"/>
      <c r="AV14" s="79"/>
      <c r="AW14" s="79"/>
      <c r="AX14" s="79"/>
      <c r="AY14" s="79">
        <v>8</v>
      </c>
      <c r="AZ14" s="79"/>
      <c r="BA14" s="79">
        <v>6</v>
      </c>
      <c r="BB14" s="79"/>
      <c r="BC14" s="79">
        <v>6</v>
      </c>
      <c r="BD14" s="79"/>
      <c r="BE14" s="49">
        <f t="shared" ref="BE14:BE77" si="13">I14+AE14</f>
        <v>46</v>
      </c>
    </row>
    <row r="15" spans="1:63" ht="15" customHeight="1" x14ac:dyDescent="0.2">
      <c r="A15" s="36">
        <v>4</v>
      </c>
      <c r="B15" s="59" t="s">
        <v>393</v>
      </c>
      <c r="C15" s="38" t="s">
        <v>95</v>
      </c>
      <c r="D15" s="38">
        <f>VLOOKUP(C15,Planilha1!$J$2:$L$206,3,)</f>
        <v>1</v>
      </c>
      <c r="E15" s="39" t="s">
        <v>94</v>
      </c>
      <c r="F15" s="40">
        <v>112111</v>
      </c>
      <c r="G15" s="49">
        <v>14</v>
      </c>
      <c r="H15" s="60">
        <f t="shared" si="7"/>
        <v>92</v>
      </c>
      <c r="I15" s="49">
        <f t="shared" si="8"/>
        <v>4</v>
      </c>
      <c r="J15" s="79"/>
      <c r="K15" s="79"/>
      <c r="L15" s="79">
        <v>1</v>
      </c>
      <c r="M15" s="79"/>
      <c r="N15" s="79"/>
      <c r="O15" s="79"/>
      <c r="P15" s="79"/>
      <c r="Q15" s="79"/>
      <c r="R15" s="79">
        <v>1</v>
      </c>
      <c r="S15" s="79">
        <v>2</v>
      </c>
      <c r="T15" s="79"/>
      <c r="U15" s="49">
        <f t="shared" si="9"/>
        <v>88</v>
      </c>
      <c r="V15" s="29">
        <f t="shared" si="10"/>
        <v>0.95652173913043481</v>
      </c>
      <c r="W15" s="29">
        <f t="shared" si="11"/>
        <v>4.3478260869565216E-2</v>
      </c>
      <c r="X15" s="61">
        <f t="shared" ref="X15:X78" si="14">SUM(Y15:AD15)</f>
        <v>61</v>
      </c>
      <c r="Y15" s="61"/>
      <c r="Z15" s="61"/>
      <c r="AA15" s="61">
        <v>55</v>
      </c>
      <c r="AB15" s="61">
        <v>5</v>
      </c>
      <c r="AC15" s="61">
        <v>1</v>
      </c>
      <c r="AD15" s="61"/>
      <c r="AE15" s="49">
        <f t="shared" si="12"/>
        <v>27</v>
      </c>
      <c r="AF15" s="79"/>
      <c r="AG15" s="79"/>
      <c r="AH15" s="79"/>
      <c r="AI15" s="79"/>
      <c r="AJ15" s="79">
        <v>1</v>
      </c>
      <c r="AK15" s="79"/>
      <c r="AL15" s="79"/>
      <c r="AM15" s="79">
        <v>1</v>
      </c>
      <c r="AN15" s="79"/>
      <c r="AO15" s="79"/>
      <c r="AP15" s="79"/>
      <c r="AQ15" s="79">
        <v>12</v>
      </c>
      <c r="AR15" s="79"/>
      <c r="AS15" s="79"/>
      <c r="AT15" s="79"/>
      <c r="AU15" s="79"/>
      <c r="AV15" s="79"/>
      <c r="AW15" s="79"/>
      <c r="AX15" s="79"/>
      <c r="AY15" s="79">
        <v>6</v>
      </c>
      <c r="AZ15" s="79"/>
      <c r="BA15" s="79">
        <v>3</v>
      </c>
      <c r="BB15" s="79"/>
      <c r="BC15" s="79">
        <v>4</v>
      </c>
      <c r="BD15" s="79"/>
      <c r="BE15" s="49">
        <f t="shared" si="13"/>
        <v>31</v>
      </c>
    </row>
    <row r="16" spans="1:63" ht="15" customHeight="1" x14ac:dyDescent="0.2">
      <c r="A16" s="36">
        <v>5</v>
      </c>
      <c r="B16" s="59" t="s">
        <v>394</v>
      </c>
      <c r="C16" s="38" t="s">
        <v>96</v>
      </c>
      <c r="D16" s="38">
        <f>VLOOKUP(C16,Planilha1!$J$2:$L$206,3,)</f>
        <v>1</v>
      </c>
      <c r="E16" s="39" t="s">
        <v>97</v>
      </c>
      <c r="F16" s="40">
        <v>10708</v>
      </c>
      <c r="G16" s="49">
        <v>2</v>
      </c>
      <c r="H16" s="60">
        <f t="shared" si="7"/>
        <v>45</v>
      </c>
      <c r="I16" s="49">
        <f t="shared" si="8"/>
        <v>3</v>
      </c>
      <c r="J16" s="79"/>
      <c r="K16" s="79"/>
      <c r="L16" s="79"/>
      <c r="M16" s="79"/>
      <c r="N16" s="79"/>
      <c r="O16" s="79"/>
      <c r="P16" s="79">
        <v>3</v>
      </c>
      <c r="Q16" s="79"/>
      <c r="R16" s="79"/>
      <c r="S16" s="79"/>
      <c r="T16" s="79"/>
      <c r="U16" s="49">
        <f t="shared" si="9"/>
        <v>42</v>
      </c>
      <c r="V16" s="29">
        <f t="shared" si="10"/>
        <v>0.93333333333333335</v>
      </c>
      <c r="W16" s="29">
        <f t="shared" si="11"/>
        <v>6.6666666666666666E-2</v>
      </c>
      <c r="X16" s="61">
        <f t="shared" si="14"/>
        <v>11</v>
      </c>
      <c r="Y16" s="61"/>
      <c r="Z16" s="61"/>
      <c r="AA16" s="61">
        <v>9</v>
      </c>
      <c r="AB16" s="61">
        <v>2</v>
      </c>
      <c r="AC16" s="61"/>
      <c r="AD16" s="61"/>
      <c r="AE16" s="61">
        <f t="shared" si="12"/>
        <v>31</v>
      </c>
      <c r="AF16" s="79"/>
      <c r="AG16" s="79"/>
      <c r="AH16" s="79"/>
      <c r="AI16" s="79"/>
      <c r="AJ16" s="79">
        <v>17</v>
      </c>
      <c r="AK16" s="79"/>
      <c r="AL16" s="79"/>
      <c r="AM16" s="79"/>
      <c r="AN16" s="79"/>
      <c r="AO16" s="79"/>
      <c r="AP16" s="79"/>
      <c r="AQ16" s="79">
        <v>7</v>
      </c>
      <c r="AR16" s="79"/>
      <c r="AS16" s="79"/>
      <c r="AT16" s="79"/>
      <c r="AU16" s="79"/>
      <c r="AV16" s="79"/>
      <c r="AW16" s="79"/>
      <c r="AX16" s="79"/>
      <c r="AY16" s="79">
        <v>4</v>
      </c>
      <c r="AZ16" s="79"/>
      <c r="BA16" s="79">
        <v>3</v>
      </c>
      <c r="BB16" s="79"/>
      <c r="BC16" s="79"/>
      <c r="BD16" s="79"/>
      <c r="BE16" s="49">
        <f t="shared" si="13"/>
        <v>34</v>
      </c>
    </row>
    <row r="17" spans="1:57" ht="15" customHeight="1" x14ac:dyDescent="0.2">
      <c r="A17" s="36">
        <v>6</v>
      </c>
      <c r="B17" s="59" t="s">
        <v>394</v>
      </c>
      <c r="C17" s="38" t="s">
        <v>98</v>
      </c>
      <c r="D17" s="38">
        <f>VLOOKUP(C17,Planilha1!$J$2:$L$206,3,)</f>
        <v>1</v>
      </c>
      <c r="E17" s="39" t="s">
        <v>97</v>
      </c>
      <c r="F17" s="40">
        <v>13034</v>
      </c>
      <c r="G17" s="49">
        <v>2</v>
      </c>
      <c r="H17" s="60">
        <f t="shared" si="7"/>
        <v>32</v>
      </c>
      <c r="I17" s="49">
        <f t="shared" si="8"/>
        <v>1</v>
      </c>
      <c r="J17" s="79"/>
      <c r="K17" s="79"/>
      <c r="L17" s="79"/>
      <c r="M17" s="79"/>
      <c r="N17" s="79"/>
      <c r="O17" s="79"/>
      <c r="P17" s="79">
        <v>1</v>
      </c>
      <c r="Q17" s="79"/>
      <c r="R17" s="79"/>
      <c r="S17" s="79"/>
      <c r="T17" s="79"/>
      <c r="U17" s="49">
        <f t="shared" si="9"/>
        <v>31</v>
      </c>
      <c r="V17" s="29">
        <f t="shared" si="10"/>
        <v>0.96875</v>
      </c>
      <c r="W17" s="29">
        <f t="shared" si="11"/>
        <v>3.125E-2</v>
      </c>
      <c r="X17" s="61">
        <f t="shared" si="14"/>
        <v>8</v>
      </c>
      <c r="Y17" s="61"/>
      <c r="Z17" s="61"/>
      <c r="AA17" s="61">
        <v>8</v>
      </c>
      <c r="AB17" s="61"/>
      <c r="AC17" s="61"/>
      <c r="AD17" s="61"/>
      <c r="AE17" s="49">
        <f t="shared" si="12"/>
        <v>23</v>
      </c>
      <c r="AF17" s="79"/>
      <c r="AG17" s="79"/>
      <c r="AH17" s="79"/>
      <c r="AI17" s="79"/>
      <c r="AJ17" s="79">
        <v>18</v>
      </c>
      <c r="AK17" s="79"/>
      <c r="AL17" s="79"/>
      <c r="AM17" s="79"/>
      <c r="AN17" s="79"/>
      <c r="AO17" s="79"/>
      <c r="AP17" s="79"/>
      <c r="AQ17" s="79">
        <v>3</v>
      </c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>
        <v>1</v>
      </c>
      <c r="BD17" s="79">
        <v>1</v>
      </c>
      <c r="BE17" s="49">
        <f t="shared" si="13"/>
        <v>24</v>
      </c>
    </row>
    <row r="18" spans="1:57" ht="15" customHeight="1" x14ac:dyDescent="0.2">
      <c r="A18" s="36">
        <v>7</v>
      </c>
      <c r="B18" s="59" t="s">
        <v>395</v>
      </c>
      <c r="C18" s="38" t="s">
        <v>99</v>
      </c>
      <c r="D18" s="38">
        <f>VLOOKUP(C18,Planilha1!$J$2:$L$206,3,)</f>
        <v>1</v>
      </c>
      <c r="E18" s="39" t="s">
        <v>100</v>
      </c>
      <c r="F18" s="40">
        <v>14361</v>
      </c>
      <c r="G18" s="49">
        <v>2</v>
      </c>
      <c r="H18" s="60">
        <f t="shared" si="7"/>
        <v>11</v>
      </c>
      <c r="I18" s="49">
        <f t="shared" si="8"/>
        <v>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9">
        <f t="shared" si="9"/>
        <v>11</v>
      </c>
      <c r="V18" s="29">
        <f t="shared" si="10"/>
        <v>1</v>
      </c>
      <c r="W18" s="29">
        <f t="shared" si="11"/>
        <v>0</v>
      </c>
      <c r="X18" s="61">
        <f t="shared" si="14"/>
        <v>0</v>
      </c>
      <c r="Y18" s="61"/>
      <c r="Z18" s="61"/>
      <c r="AA18" s="61"/>
      <c r="AB18" s="61"/>
      <c r="AC18" s="61"/>
      <c r="AD18" s="61"/>
      <c r="AE18" s="61">
        <f t="shared" si="12"/>
        <v>11</v>
      </c>
      <c r="AF18" s="39"/>
      <c r="AG18" s="39"/>
      <c r="AH18" s="39"/>
      <c r="AI18" s="39"/>
      <c r="AJ18" s="39">
        <v>6</v>
      </c>
      <c r="AK18" s="39"/>
      <c r="AL18" s="39"/>
      <c r="AM18" s="39"/>
      <c r="AN18" s="39"/>
      <c r="AO18" s="39"/>
      <c r="AP18" s="39"/>
      <c r="AQ18" s="39">
        <v>3</v>
      </c>
      <c r="AR18" s="39"/>
      <c r="AS18" s="39">
        <v>1</v>
      </c>
      <c r="AT18" s="39"/>
      <c r="AU18" s="39"/>
      <c r="AV18" s="39"/>
      <c r="AW18" s="39"/>
      <c r="AX18" s="39"/>
      <c r="AY18" s="39">
        <v>1</v>
      </c>
      <c r="AZ18" s="39"/>
      <c r="BA18" s="39"/>
      <c r="BB18" s="39"/>
      <c r="BC18" s="39"/>
      <c r="BD18" s="39"/>
      <c r="BE18" s="49">
        <f t="shared" si="13"/>
        <v>11</v>
      </c>
    </row>
    <row r="19" spans="1:57" ht="15" customHeight="1" x14ac:dyDescent="0.2">
      <c r="A19" s="36">
        <v>8</v>
      </c>
      <c r="B19" s="59" t="s">
        <v>395</v>
      </c>
      <c r="C19" s="38" t="s">
        <v>101</v>
      </c>
      <c r="D19" s="38">
        <f>VLOOKUP(C19,Planilha1!$J$2:$L$206,3,)</f>
        <v>1</v>
      </c>
      <c r="E19" s="39" t="s">
        <v>100</v>
      </c>
      <c r="F19" s="40">
        <v>16044</v>
      </c>
      <c r="G19" s="49">
        <v>2</v>
      </c>
      <c r="H19" s="60">
        <f t="shared" si="7"/>
        <v>10</v>
      </c>
      <c r="I19" s="49">
        <f t="shared" si="8"/>
        <v>0</v>
      </c>
      <c r="J19" s="7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9">
        <f t="shared" si="9"/>
        <v>10</v>
      </c>
      <c r="V19" s="29">
        <f t="shared" si="10"/>
        <v>1</v>
      </c>
      <c r="W19" s="29">
        <f t="shared" si="11"/>
        <v>0</v>
      </c>
      <c r="X19" s="61">
        <f t="shared" si="14"/>
        <v>0</v>
      </c>
      <c r="Y19" s="61"/>
      <c r="Z19" s="61"/>
      <c r="AA19" s="61"/>
      <c r="AB19" s="61"/>
      <c r="AC19" s="61"/>
      <c r="AD19" s="61"/>
      <c r="AE19" s="49">
        <f t="shared" si="12"/>
        <v>10</v>
      </c>
      <c r="AF19" s="39"/>
      <c r="AG19" s="39"/>
      <c r="AH19" s="39"/>
      <c r="AI19" s="39"/>
      <c r="AJ19" s="39">
        <v>8</v>
      </c>
      <c r="AK19" s="39"/>
      <c r="AL19" s="39"/>
      <c r="AM19" s="39"/>
      <c r="AN19" s="39"/>
      <c r="AO19" s="39"/>
      <c r="AP19" s="39"/>
      <c r="AQ19" s="39"/>
      <c r="AR19" s="39"/>
      <c r="AS19" s="39"/>
      <c r="AT19" s="39">
        <v>2</v>
      </c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49">
        <f t="shared" si="13"/>
        <v>10</v>
      </c>
    </row>
    <row r="20" spans="1:57" ht="15" customHeight="1" x14ac:dyDescent="0.2">
      <c r="A20" s="36">
        <v>9</v>
      </c>
      <c r="B20" s="59" t="s">
        <v>396</v>
      </c>
      <c r="C20" s="38" t="s">
        <v>102</v>
      </c>
      <c r="D20" s="38">
        <f>VLOOKUP(C20,Planilha1!$J$2:$L$206,3,)</f>
        <v>1</v>
      </c>
      <c r="E20" s="39" t="s">
        <v>103</v>
      </c>
      <c r="F20" s="40">
        <v>3629</v>
      </c>
      <c r="G20" s="49">
        <v>1</v>
      </c>
      <c r="H20" s="60">
        <f t="shared" si="7"/>
        <v>131</v>
      </c>
      <c r="I20" s="49">
        <f t="shared" si="8"/>
        <v>3</v>
      </c>
      <c r="J20" s="79"/>
      <c r="K20" s="79"/>
      <c r="L20" s="79">
        <v>2</v>
      </c>
      <c r="M20" s="79"/>
      <c r="N20" s="79"/>
      <c r="O20" s="79"/>
      <c r="P20" s="79"/>
      <c r="Q20" s="79">
        <v>1</v>
      </c>
      <c r="R20" s="79"/>
      <c r="S20" s="79"/>
      <c r="T20" s="79"/>
      <c r="U20" s="49">
        <f t="shared" si="9"/>
        <v>128</v>
      </c>
      <c r="V20" s="29">
        <f t="shared" si="10"/>
        <v>0.97709923664122134</v>
      </c>
      <c r="W20" s="29">
        <f t="shared" si="11"/>
        <v>2.2900763358778626E-2</v>
      </c>
      <c r="X20" s="61">
        <f t="shared" si="14"/>
        <v>47</v>
      </c>
      <c r="Y20" s="61"/>
      <c r="Z20" s="61"/>
      <c r="AA20" s="61">
        <v>34</v>
      </c>
      <c r="AB20" s="61">
        <v>10</v>
      </c>
      <c r="AC20" s="61">
        <v>3</v>
      </c>
      <c r="AD20" s="61"/>
      <c r="AE20" s="61">
        <f t="shared" si="12"/>
        <v>81</v>
      </c>
      <c r="AF20" s="79"/>
      <c r="AG20" s="79"/>
      <c r="AH20" s="79">
        <v>18</v>
      </c>
      <c r="AI20" s="79"/>
      <c r="AJ20" s="79">
        <v>58</v>
      </c>
      <c r="AK20" s="79"/>
      <c r="AL20" s="79"/>
      <c r="AM20" s="79">
        <v>1</v>
      </c>
      <c r="AN20" s="79"/>
      <c r="AO20" s="79"/>
      <c r="AP20" s="79"/>
      <c r="AQ20" s="79"/>
      <c r="AR20" s="79"/>
      <c r="AS20" s="79">
        <v>1</v>
      </c>
      <c r="AT20" s="79"/>
      <c r="AU20" s="79"/>
      <c r="AV20" s="79"/>
      <c r="AW20" s="79">
        <v>1</v>
      </c>
      <c r="AX20" s="79"/>
      <c r="AY20" s="79">
        <v>1</v>
      </c>
      <c r="AZ20" s="79"/>
      <c r="BA20" s="79">
        <v>1</v>
      </c>
      <c r="BB20" s="79"/>
      <c r="BC20" s="79"/>
      <c r="BD20" s="79"/>
      <c r="BE20" s="49">
        <f t="shared" si="13"/>
        <v>84</v>
      </c>
    </row>
    <row r="21" spans="1:57" ht="15" customHeight="1" x14ac:dyDescent="0.2">
      <c r="A21" s="36">
        <v>10</v>
      </c>
      <c r="B21" s="59" t="s">
        <v>396</v>
      </c>
      <c r="C21" s="38" t="s">
        <v>104</v>
      </c>
      <c r="D21" s="38">
        <f>VLOOKUP(C21,Planilha1!$J$2:$L$206,3,)</f>
        <v>1</v>
      </c>
      <c r="E21" s="39" t="s">
        <v>103</v>
      </c>
      <c r="F21" s="40">
        <v>3771</v>
      </c>
      <c r="G21" s="49">
        <v>1</v>
      </c>
      <c r="H21" s="60">
        <f t="shared" si="7"/>
        <v>137</v>
      </c>
      <c r="I21" s="49">
        <f t="shared" si="8"/>
        <v>3</v>
      </c>
      <c r="J21" s="79"/>
      <c r="K21" s="79"/>
      <c r="L21" s="79">
        <v>1</v>
      </c>
      <c r="M21" s="79">
        <v>2</v>
      </c>
      <c r="N21" s="79"/>
      <c r="O21" s="79"/>
      <c r="P21" s="79"/>
      <c r="Q21" s="79"/>
      <c r="R21" s="79"/>
      <c r="S21" s="79"/>
      <c r="T21" s="79"/>
      <c r="U21" s="49">
        <f t="shared" si="9"/>
        <v>134</v>
      </c>
      <c r="V21" s="29">
        <f t="shared" si="10"/>
        <v>0.97810218978102192</v>
      </c>
      <c r="W21" s="29">
        <f t="shared" si="11"/>
        <v>2.1897810218978103E-2</v>
      </c>
      <c r="X21" s="61">
        <f t="shared" si="14"/>
        <v>56</v>
      </c>
      <c r="Y21" s="61"/>
      <c r="Z21" s="61"/>
      <c r="AA21" s="61">
        <v>41</v>
      </c>
      <c r="AB21" s="61">
        <v>14</v>
      </c>
      <c r="AC21" s="61">
        <v>1</v>
      </c>
      <c r="AD21" s="61"/>
      <c r="AE21" s="49">
        <f t="shared" si="12"/>
        <v>78</v>
      </c>
      <c r="AF21" s="79"/>
      <c r="AG21" s="79"/>
      <c r="AH21" s="79">
        <v>8</v>
      </c>
      <c r="AI21" s="79"/>
      <c r="AJ21" s="79">
        <v>59</v>
      </c>
      <c r="AK21" s="79"/>
      <c r="AL21" s="79"/>
      <c r="AM21" s="79"/>
      <c r="AN21" s="79"/>
      <c r="AO21" s="79"/>
      <c r="AP21" s="79"/>
      <c r="AQ21" s="79"/>
      <c r="AR21" s="79"/>
      <c r="AS21" s="79"/>
      <c r="AT21" s="79">
        <v>1</v>
      </c>
      <c r="AU21" s="79"/>
      <c r="AV21" s="79"/>
      <c r="AW21" s="79"/>
      <c r="AX21" s="79"/>
      <c r="AY21" s="79">
        <v>2</v>
      </c>
      <c r="AZ21" s="79">
        <v>6</v>
      </c>
      <c r="BA21" s="79">
        <v>1</v>
      </c>
      <c r="BB21" s="79"/>
      <c r="BC21" s="79">
        <v>1</v>
      </c>
      <c r="BD21" s="79"/>
      <c r="BE21" s="49">
        <f t="shared" si="13"/>
        <v>81</v>
      </c>
    </row>
    <row r="22" spans="1:57" ht="15" customHeight="1" x14ac:dyDescent="0.2">
      <c r="A22" s="36">
        <v>11</v>
      </c>
      <c r="B22" s="59" t="s">
        <v>397</v>
      </c>
      <c r="C22" s="38" t="s">
        <v>105</v>
      </c>
      <c r="D22" s="38">
        <f>VLOOKUP(C22,Planilha1!$J$2:$L$206,3,)</f>
        <v>1</v>
      </c>
      <c r="E22" s="39" t="s">
        <v>106</v>
      </c>
      <c r="F22" s="40">
        <v>3920</v>
      </c>
      <c r="G22" s="49">
        <v>1</v>
      </c>
      <c r="H22" s="60">
        <f t="shared" si="7"/>
        <v>691</v>
      </c>
      <c r="I22" s="49">
        <f t="shared" si="8"/>
        <v>4</v>
      </c>
      <c r="J22" s="79"/>
      <c r="K22" s="79"/>
      <c r="L22" s="79"/>
      <c r="M22" s="79">
        <v>1</v>
      </c>
      <c r="N22" s="79"/>
      <c r="O22" s="79"/>
      <c r="P22" s="79">
        <v>2</v>
      </c>
      <c r="Q22" s="79"/>
      <c r="R22" s="79"/>
      <c r="S22" s="79">
        <v>1</v>
      </c>
      <c r="T22" s="79"/>
      <c r="U22" s="49">
        <f t="shared" si="9"/>
        <v>687</v>
      </c>
      <c r="V22" s="29">
        <f t="shared" si="10"/>
        <v>0.99421128798842262</v>
      </c>
      <c r="W22" s="29">
        <f t="shared" si="11"/>
        <v>5.7887120115774236E-3</v>
      </c>
      <c r="X22" s="61">
        <f t="shared" si="14"/>
        <v>1</v>
      </c>
      <c r="Y22" s="61"/>
      <c r="Z22" s="61"/>
      <c r="AA22" s="61">
        <v>1</v>
      </c>
      <c r="AB22" s="61"/>
      <c r="AC22" s="61"/>
      <c r="AD22" s="61"/>
      <c r="AE22" s="61">
        <f t="shared" si="12"/>
        <v>686</v>
      </c>
      <c r="AF22" s="79"/>
      <c r="AG22" s="79"/>
      <c r="AH22" s="79"/>
      <c r="AI22" s="79"/>
      <c r="AJ22" s="79">
        <v>684</v>
      </c>
      <c r="AK22" s="79"/>
      <c r="AL22" s="79"/>
      <c r="AM22" s="79"/>
      <c r="AN22" s="79"/>
      <c r="AO22" s="79"/>
      <c r="AP22" s="79"/>
      <c r="AQ22" s="79"/>
      <c r="AR22" s="79"/>
      <c r="AS22" s="79"/>
      <c r="AT22" s="79">
        <v>1</v>
      </c>
      <c r="AU22" s="79"/>
      <c r="AV22" s="79"/>
      <c r="AW22" s="79"/>
      <c r="AX22" s="79"/>
      <c r="AY22" s="79">
        <v>1</v>
      </c>
      <c r="AZ22" s="79"/>
      <c r="BA22" s="79"/>
      <c r="BB22" s="79"/>
      <c r="BC22" s="79"/>
      <c r="BD22" s="79"/>
      <c r="BE22" s="49">
        <f t="shared" si="13"/>
        <v>690</v>
      </c>
    </row>
    <row r="23" spans="1:57" ht="15" customHeight="1" x14ac:dyDescent="0.2">
      <c r="A23" s="36">
        <v>12</v>
      </c>
      <c r="B23" s="59" t="s">
        <v>397</v>
      </c>
      <c r="C23" s="38" t="s">
        <v>107</v>
      </c>
      <c r="D23" s="38">
        <f>VLOOKUP(C23,Planilha1!$J$2:$L$206,3,)</f>
        <v>1</v>
      </c>
      <c r="E23" s="39" t="s">
        <v>106</v>
      </c>
      <c r="F23" s="40">
        <v>4049</v>
      </c>
      <c r="G23" s="49">
        <v>1</v>
      </c>
      <c r="H23" s="60">
        <f t="shared" si="7"/>
        <v>596</v>
      </c>
      <c r="I23" s="49">
        <f t="shared" si="8"/>
        <v>3</v>
      </c>
      <c r="J23" s="79"/>
      <c r="K23" s="79"/>
      <c r="L23" s="79"/>
      <c r="M23" s="79"/>
      <c r="N23" s="79"/>
      <c r="O23" s="79"/>
      <c r="P23" s="79">
        <v>1</v>
      </c>
      <c r="Q23" s="79"/>
      <c r="R23" s="79"/>
      <c r="S23" s="79"/>
      <c r="T23" s="79">
        <v>2</v>
      </c>
      <c r="U23" s="49">
        <f t="shared" si="9"/>
        <v>593</v>
      </c>
      <c r="V23" s="29">
        <f t="shared" si="10"/>
        <v>0.99496644295302017</v>
      </c>
      <c r="W23" s="29">
        <f t="shared" si="11"/>
        <v>5.0335570469798654E-3</v>
      </c>
      <c r="X23" s="61">
        <f t="shared" si="14"/>
        <v>3</v>
      </c>
      <c r="Y23" s="61"/>
      <c r="Z23" s="61"/>
      <c r="AA23" s="61">
        <v>3</v>
      </c>
      <c r="AB23" s="61"/>
      <c r="AC23" s="61"/>
      <c r="AD23" s="61"/>
      <c r="AE23" s="49">
        <f t="shared" si="12"/>
        <v>590</v>
      </c>
      <c r="AF23" s="79"/>
      <c r="AG23" s="79"/>
      <c r="AH23" s="79"/>
      <c r="AI23" s="79"/>
      <c r="AJ23" s="79">
        <v>583</v>
      </c>
      <c r="AK23" s="79"/>
      <c r="AL23" s="79"/>
      <c r="AM23" s="79">
        <v>3</v>
      </c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>
        <v>3</v>
      </c>
      <c r="AZ23" s="79"/>
      <c r="BA23" s="79"/>
      <c r="BB23" s="79"/>
      <c r="BC23" s="79">
        <v>1</v>
      </c>
      <c r="BD23" s="79"/>
      <c r="BE23" s="49">
        <f t="shared" si="13"/>
        <v>593</v>
      </c>
    </row>
    <row r="24" spans="1:57" ht="15" customHeight="1" x14ac:dyDescent="0.2">
      <c r="A24" s="36">
        <v>13</v>
      </c>
      <c r="B24" s="59" t="s">
        <v>398</v>
      </c>
      <c r="C24" s="38" t="s">
        <v>111</v>
      </c>
      <c r="D24" s="38">
        <f>VLOOKUP(C24,Planilha1!$J$2:$L$206,3,)</f>
        <v>1</v>
      </c>
      <c r="E24" s="39" t="s">
        <v>112</v>
      </c>
      <c r="F24" s="40">
        <v>2000</v>
      </c>
      <c r="G24" s="49">
        <v>1</v>
      </c>
      <c r="H24" s="60">
        <f t="shared" si="7"/>
        <v>16</v>
      </c>
      <c r="I24" s="49">
        <f t="shared" si="8"/>
        <v>0</v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49">
        <f t="shared" si="9"/>
        <v>16</v>
      </c>
      <c r="V24" s="29">
        <f t="shared" si="10"/>
        <v>1</v>
      </c>
      <c r="W24" s="29">
        <f t="shared" si="11"/>
        <v>0</v>
      </c>
      <c r="X24" s="61">
        <f t="shared" si="14"/>
        <v>0</v>
      </c>
      <c r="Y24" s="61"/>
      <c r="Z24" s="61"/>
      <c r="AA24" s="61"/>
      <c r="AB24" s="61"/>
      <c r="AC24" s="61"/>
      <c r="AD24" s="61"/>
      <c r="AE24" s="61">
        <f t="shared" si="12"/>
        <v>16</v>
      </c>
      <c r="AF24" s="79"/>
      <c r="AG24" s="79"/>
      <c r="AH24" s="79"/>
      <c r="AI24" s="79"/>
      <c r="AJ24" s="79">
        <v>12</v>
      </c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>
        <v>4</v>
      </c>
      <c r="AX24" s="79"/>
      <c r="AY24" s="79"/>
      <c r="AZ24" s="79"/>
      <c r="BA24" s="79"/>
      <c r="BB24" s="79"/>
      <c r="BC24" s="79"/>
      <c r="BD24" s="79"/>
      <c r="BE24" s="49">
        <f t="shared" si="13"/>
        <v>16</v>
      </c>
    </row>
    <row r="25" spans="1:57" ht="15" customHeight="1" x14ac:dyDescent="0.2">
      <c r="A25" s="36">
        <v>14</v>
      </c>
      <c r="B25" s="59" t="s">
        <v>398</v>
      </c>
      <c r="C25" s="38" t="s">
        <v>113</v>
      </c>
      <c r="D25" s="38">
        <f>VLOOKUP(C25,Planilha1!$J$2:$L$206,3,)</f>
        <v>1</v>
      </c>
      <c r="E25" s="39" t="s">
        <v>112</v>
      </c>
      <c r="F25" s="40">
        <v>4660</v>
      </c>
      <c r="G25" s="49">
        <v>1</v>
      </c>
      <c r="H25" s="60">
        <f t="shared" si="7"/>
        <v>33</v>
      </c>
      <c r="I25" s="49">
        <f t="shared" si="8"/>
        <v>2</v>
      </c>
      <c r="J25" s="79"/>
      <c r="K25" s="79"/>
      <c r="L25" s="79"/>
      <c r="M25" s="79"/>
      <c r="N25" s="79"/>
      <c r="O25" s="79"/>
      <c r="P25" s="79">
        <v>1</v>
      </c>
      <c r="Q25" s="79"/>
      <c r="R25" s="79"/>
      <c r="S25" s="79"/>
      <c r="T25" s="79">
        <v>1</v>
      </c>
      <c r="U25" s="49">
        <f t="shared" si="9"/>
        <v>31</v>
      </c>
      <c r="V25" s="29">
        <f t="shared" si="10"/>
        <v>0.93939393939393945</v>
      </c>
      <c r="W25" s="29">
        <f t="shared" si="11"/>
        <v>6.0606060606060608E-2</v>
      </c>
      <c r="X25" s="61">
        <f t="shared" si="14"/>
        <v>0</v>
      </c>
      <c r="Y25" s="61"/>
      <c r="Z25" s="61"/>
      <c r="AA25" s="61"/>
      <c r="AB25" s="61"/>
      <c r="AC25" s="61"/>
      <c r="AD25" s="61"/>
      <c r="AE25" s="49">
        <f t="shared" si="12"/>
        <v>31</v>
      </c>
      <c r="AF25" s="79"/>
      <c r="AG25" s="79"/>
      <c r="AH25" s="79"/>
      <c r="AI25" s="79"/>
      <c r="AJ25" s="79">
        <v>15</v>
      </c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>
        <v>16</v>
      </c>
      <c r="AX25" s="79"/>
      <c r="AY25" s="79"/>
      <c r="AZ25" s="79"/>
      <c r="BA25" s="79"/>
      <c r="BB25" s="79"/>
      <c r="BC25" s="79"/>
      <c r="BD25" s="79"/>
      <c r="BE25" s="49">
        <f t="shared" si="13"/>
        <v>33</v>
      </c>
    </row>
    <row r="26" spans="1:57" ht="15" customHeight="1" x14ac:dyDescent="0.2">
      <c r="A26" s="36">
        <v>15</v>
      </c>
      <c r="B26" s="59" t="s">
        <v>399</v>
      </c>
      <c r="C26" s="38" t="s">
        <v>114</v>
      </c>
      <c r="D26" s="38">
        <f>VLOOKUP(C26,Planilha1!$J$2:$L$206,3,)</f>
        <v>1</v>
      </c>
      <c r="E26" s="39" t="s">
        <v>115</v>
      </c>
      <c r="F26" s="40">
        <v>1100</v>
      </c>
      <c r="G26" s="49">
        <v>1</v>
      </c>
      <c r="H26" s="60">
        <f t="shared" si="7"/>
        <v>26</v>
      </c>
      <c r="I26" s="49">
        <f t="shared" si="8"/>
        <v>0</v>
      </c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49">
        <f t="shared" si="9"/>
        <v>26</v>
      </c>
      <c r="V26" s="29">
        <f t="shared" si="10"/>
        <v>1</v>
      </c>
      <c r="W26" s="29">
        <f t="shared" si="11"/>
        <v>0</v>
      </c>
      <c r="X26" s="61">
        <f t="shared" si="14"/>
        <v>0</v>
      </c>
      <c r="Y26" s="61"/>
      <c r="Z26" s="61"/>
      <c r="AA26" s="61"/>
      <c r="AB26" s="61"/>
      <c r="AC26" s="61"/>
      <c r="AD26" s="61"/>
      <c r="AE26" s="61">
        <f t="shared" si="12"/>
        <v>26</v>
      </c>
      <c r="AF26" s="79"/>
      <c r="AG26" s="79"/>
      <c r="AH26" s="79"/>
      <c r="AI26" s="79"/>
      <c r="AJ26" s="79">
        <v>1</v>
      </c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>
        <v>25</v>
      </c>
      <c r="AX26" s="79"/>
      <c r="AY26" s="79"/>
      <c r="AZ26" s="79"/>
      <c r="BA26" s="79"/>
      <c r="BB26" s="79"/>
      <c r="BC26" s="79"/>
      <c r="BD26" s="79"/>
      <c r="BE26" s="49">
        <f t="shared" si="13"/>
        <v>26</v>
      </c>
    </row>
    <row r="27" spans="1:57" ht="15" customHeight="1" x14ac:dyDescent="0.2">
      <c r="A27" s="36">
        <v>16</v>
      </c>
      <c r="B27" s="59" t="s">
        <v>399</v>
      </c>
      <c r="C27" s="38" t="s">
        <v>116</v>
      </c>
      <c r="D27" s="38">
        <f>VLOOKUP(C27,Planilha1!$J$2:$L$206,3,)</f>
        <v>1</v>
      </c>
      <c r="E27" s="39" t="s">
        <v>115</v>
      </c>
      <c r="F27" s="40">
        <v>2916</v>
      </c>
      <c r="G27" s="49">
        <v>1</v>
      </c>
      <c r="H27" s="60">
        <f t="shared" si="7"/>
        <v>18</v>
      </c>
      <c r="I27" s="49">
        <f t="shared" si="8"/>
        <v>0</v>
      </c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49">
        <f t="shared" si="9"/>
        <v>18</v>
      </c>
      <c r="V27" s="29">
        <f t="shared" si="10"/>
        <v>1</v>
      </c>
      <c r="W27" s="29">
        <f t="shared" si="11"/>
        <v>0</v>
      </c>
      <c r="X27" s="61">
        <f t="shared" si="14"/>
        <v>0</v>
      </c>
      <c r="Y27" s="61"/>
      <c r="Z27" s="61"/>
      <c r="AA27" s="61"/>
      <c r="AB27" s="61"/>
      <c r="AC27" s="61"/>
      <c r="AD27" s="61"/>
      <c r="AE27" s="49">
        <f t="shared" si="12"/>
        <v>18</v>
      </c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>
        <v>18</v>
      </c>
      <c r="AX27" s="79"/>
      <c r="AY27" s="79"/>
      <c r="AZ27" s="79"/>
      <c r="BA27" s="79"/>
      <c r="BB27" s="79"/>
      <c r="BC27" s="79"/>
      <c r="BD27" s="79"/>
      <c r="BE27" s="49">
        <f t="shared" si="13"/>
        <v>18</v>
      </c>
    </row>
    <row r="28" spans="1:57" ht="15" customHeight="1" x14ac:dyDescent="0.2">
      <c r="A28" s="36">
        <v>17</v>
      </c>
      <c r="B28" s="59" t="s">
        <v>400</v>
      </c>
      <c r="C28" s="38" t="s">
        <v>124</v>
      </c>
      <c r="D28" s="38">
        <f>VLOOKUP(C28,Planilha1!$J$2:$L$206,3,)</f>
        <v>1</v>
      </c>
      <c r="E28" s="39" t="s">
        <v>125</v>
      </c>
      <c r="F28" s="40">
        <v>8797</v>
      </c>
      <c r="G28" s="49">
        <v>2</v>
      </c>
      <c r="H28" s="60">
        <f t="shared" si="7"/>
        <v>400</v>
      </c>
      <c r="I28" s="49">
        <f t="shared" si="8"/>
        <v>0</v>
      </c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49">
        <f t="shared" si="9"/>
        <v>400</v>
      </c>
      <c r="V28" s="29">
        <f t="shared" si="10"/>
        <v>1</v>
      </c>
      <c r="W28" s="29">
        <f t="shared" si="11"/>
        <v>0</v>
      </c>
      <c r="X28" s="61">
        <f t="shared" si="14"/>
        <v>0</v>
      </c>
      <c r="Y28" s="61"/>
      <c r="Z28" s="61"/>
      <c r="AA28" s="61"/>
      <c r="AB28" s="61"/>
      <c r="AC28" s="61"/>
      <c r="AD28" s="61"/>
      <c r="AE28" s="61">
        <f t="shared" si="12"/>
        <v>400</v>
      </c>
      <c r="AF28" s="39"/>
      <c r="AG28" s="39"/>
      <c r="AH28" s="39">
        <v>2</v>
      </c>
      <c r="AI28" s="39"/>
      <c r="AJ28" s="39"/>
      <c r="AK28" s="39"/>
      <c r="AL28" s="39"/>
      <c r="AM28" s="39"/>
      <c r="AN28" s="39"/>
      <c r="AO28" s="39"/>
      <c r="AP28" s="39"/>
      <c r="AQ28" s="39">
        <v>1</v>
      </c>
      <c r="AR28" s="39"/>
      <c r="AS28" s="39"/>
      <c r="AT28" s="39"/>
      <c r="AU28" s="39"/>
      <c r="AV28" s="39"/>
      <c r="AW28" s="39">
        <v>391</v>
      </c>
      <c r="AX28" s="39"/>
      <c r="AY28" s="39">
        <v>5</v>
      </c>
      <c r="AZ28" s="39"/>
      <c r="BA28" s="39"/>
      <c r="BB28" s="39"/>
      <c r="BC28" s="39">
        <v>1</v>
      </c>
      <c r="BD28" s="39"/>
      <c r="BE28" s="49">
        <f t="shared" si="13"/>
        <v>400</v>
      </c>
    </row>
    <row r="29" spans="1:57" ht="15" customHeight="1" x14ac:dyDescent="0.2">
      <c r="A29" s="36">
        <v>18</v>
      </c>
      <c r="B29" s="59" t="s">
        <v>400</v>
      </c>
      <c r="C29" s="38" t="s">
        <v>126</v>
      </c>
      <c r="D29" s="38">
        <f>VLOOKUP(C29,Planilha1!$J$2:$L$206,3,)</f>
        <v>1</v>
      </c>
      <c r="E29" s="39" t="s">
        <v>125</v>
      </c>
      <c r="F29" s="40">
        <v>11263</v>
      </c>
      <c r="G29" s="49">
        <v>2</v>
      </c>
      <c r="H29" s="60">
        <f t="shared" si="7"/>
        <v>253</v>
      </c>
      <c r="I29" s="49">
        <f t="shared" si="8"/>
        <v>1</v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>
        <v>1</v>
      </c>
      <c r="U29" s="49">
        <f t="shared" si="9"/>
        <v>252</v>
      </c>
      <c r="V29" s="29">
        <f t="shared" si="10"/>
        <v>0.99604743083003955</v>
      </c>
      <c r="W29" s="29">
        <f t="shared" si="11"/>
        <v>3.952569169960474E-3</v>
      </c>
      <c r="X29" s="61">
        <f t="shared" si="14"/>
        <v>0</v>
      </c>
      <c r="Y29" s="61"/>
      <c r="Z29" s="61"/>
      <c r="AA29" s="61"/>
      <c r="AB29" s="61"/>
      <c r="AC29" s="61"/>
      <c r="AD29" s="61"/>
      <c r="AE29" s="49">
        <f t="shared" si="12"/>
        <v>252</v>
      </c>
      <c r="AF29" s="39"/>
      <c r="AG29" s="39"/>
      <c r="AH29" s="39">
        <v>1</v>
      </c>
      <c r="AI29" s="39"/>
      <c r="AJ29" s="39"/>
      <c r="AK29" s="39"/>
      <c r="AL29" s="39"/>
      <c r="AM29" s="39"/>
      <c r="AN29" s="39"/>
      <c r="AO29" s="39"/>
      <c r="AP29" s="39"/>
      <c r="AQ29" s="39">
        <v>5</v>
      </c>
      <c r="AR29" s="39"/>
      <c r="AS29" s="39"/>
      <c r="AT29" s="39"/>
      <c r="AU29" s="39"/>
      <c r="AV29" s="39"/>
      <c r="AW29" s="39">
        <v>242</v>
      </c>
      <c r="AX29" s="39"/>
      <c r="AY29" s="39">
        <v>4</v>
      </c>
      <c r="AZ29" s="39"/>
      <c r="BA29" s="39"/>
      <c r="BB29" s="39"/>
      <c r="BC29" s="39"/>
      <c r="BD29" s="39"/>
      <c r="BE29" s="49">
        <f t="shared" si="13"/>
        <v>253</v>
      </c>
    </row>
    <row r="30" spans="1:57" ht="15" customHeight="1" x14ac:dyDescent="0.2">
      <c r="A30" s="36">
        <v>19</v>
      </c>
      <c r="B30" s="59" t="s">
        <v>401</v>
      </c>
      <c r="C30" s="38" t="s">
        <v>127</v>
      </c>
      <c r="D30" s="38">
        <f>VLOOKUP(C30,Planilha1!$J$2:$L$206,3,)</f>
        <v>1</v>
      </c>
      <c r="E30" s="39" t="s">
        <v>128</v>
      </c>
      <c r="F30" s="40">
        <v>12194</v>
      </c>
      <c r="G30" s="49">
        <v>2</v>
      </c>
      <c r="H30" s="60">
        <f t="shared" si="7"/>
        <v>1063</v>
      </c>
      <c r="I30" s="49">
        <f t="shared" si="8"/>
        <v>10</v>
      </c>
      <c r="J30" s="79"/>
      <c r="K30" s="79"/>
      <c r="L30" s="79">
        <v>1</v>
      </c>
      <c r="M30" s="79"/>
      <c r="N30" s="79"/>
      <c r="O30" s="79"/>
      <c r="P30" s="79">
        <v>2</v>
      </c>
      <c r="Q30" s="79"/>
      <c r="R30" s="79"/>
      <c r="S30" s="79"/>
      <c r="T30" s="79">
        <v>7</v>
      </c>
      <c r="U30" s="49">
        <f t="shared" si="9"/>
        <v>1053</v>
      </c>
      <c r="V30" s="29">
        <f t="shared" si="10"/>
        <v>0.99059266227657572</v>
      </c>
      <c r="W30" s="29">
        <f t="shared" si="11"/>
        <v>9.4073377234242701E-3</v>
      </c>
      <c r="X30" s="61">
        <f t="shared" si="14"/>
        <v>0</v>
      </c>
      <c r="Y30" s="61"/>
      <c r="Z30" s="61"/>
      <c r="AA30" s="61"/>
      <c r="AB30" s="61"/>
      <c r="AC30" s="61"/>
      <c r="AD30" s="61"/>
      <c r="AE30" s="61">
        <f t="shared" si="12"/>
        <v>1053</v>
      </c>
      <c r="AF30" s="39"/>
      <c r="AG30" s="39"/>
      <c r="AH30" s="39">
        <v>1</v>
      </c>
      <c r="AI30" s="39"/>
      <c r="AJ30" s="39">
        <v>621</v>
      </c>
      <c r="AK30" s="39"/>
      <c r="AL30" s="39"/>
      <c r="AM30" s="39">
        <v>1</v>
      </c>
      <c r="AN30" s="39"/>
      <c r="AO30" s="39">
        <v>1</v>
      </c>
      <c r="AP30" s="39"/>
      <c r="AQ30" s="39">
        <v>5</v>
      </c>
      <c r="AR30" s="39"/>
      <c r="AS30" s="39">
        <v>1</v>
      </c>
      <c r="AT30" s="39">
        <v>2</v>
      </c>
      <c r="AU30" s="39"/>
      <c r="AV30" s="39"/>
      <c r="AW30" s="39">
        <v>383</v>
      </c>
      <c r="AX30" s="39"/>
      <c r="AY30" s="39">
        <v>2</v>
      </c>
      <c r="AZ30" s="39">
        <v>35</v>
      </c>
      <c r="BA30" s="39"/>
      <c r="BB30" s="39"/>
      <c r="BC30" s="39">
        <v>1</v>
      </c>
      <c r="BD30" s="39"/>
      <c r="BE30" s="49">
        <f t="shared" si="13"/>
        <v>1063</v>
      </c>
    </row>
    <row r="31" spans="1:57" ht="15" customHeight="1" x14ac:dyDescent="0.2">
      <c r="A31" s="36">
        <v>20</v>
      </c>
      <c r="B31" s="59" t="s">
        <v>401</v>
      </c>
      <c r="C31" s="38" t="s">
        <v>129</v>
      </c>
      <c r="D31" s="38">
        <f>VLOOKUP(C31,Planilha1!$J$2:$L$206,3,)</f>
        <v>1</v>
      </c>
      <c r="E31" s="39" t="s">
        <v>128</v>
      </c>
      <c r="F31" s="40">
        <v>13468</v>
      </c>
      <c r="G31" s="49">
        <v>2</v>
      </c>
      <c r="H31" s="60">
        <f t="shared" si="7"/>
        <v>531</v>
      </c>
      <c r="I31" s="49">
        <f t="shared" si="8"/>
        <v>3</v>
      </c>
      <c r="J31" s="79"/>
      <c r="K31" s="79"/>
      <c r="L31" s="79"/>
      <c r="M31" s="79">
        <v>1</v>
      </c>
      <c r="N31" s="79"/>
      <c r="O31" s="79"/>
      <c r="P31" s="79">
        <v>2</v>
      </c>
      <c r="Q31" s="79"/>
      <c r="R31" s="79"/>
      <c r="S31" s="79"/>
      <c r="T31" s="79"/>
      <c r="U31" s="49">
        <f t="shared" si="9"/>
        <v>528</v>
      </c>
      <c r="V31" s="29">
        <f t="shared" si="10"/>
        <v>0.99435028248587576</v>
      </c>
      <c r="W31" s="29">
        <f t="shared" si="11"/>
        <v>5.6497175141242938E-3</v>
      </c>
      <c r="X31" s="61">
        <f t="shared" si="14"/>
        <v>0</v>
      </c>
      <c r="Y31" s="61"/>
      <c r="Z31" s="61"/>
      <c r="AA31" s="61"/>
      <c r="AB31" s="61"/>
      <c r="AC31" s="61"/>
      <c r="AD31" s="61"/>
      <c r="AE31" s="49">
        <f t="shared" si="12"/>
        <v>528</v>
      </c>
      <c r="AF31" s="39"/>
      <c r="AG31" s="39"/>
      <c r="AH31" s="39">
        <v>5</v>
      </c>
      <c r="AI31" s="39"/>
      <c r="AJ31" s="39">
        <v>302</v>
      </c>
      <c r="AK31" s="39"/>
      <c r="AL31" s="39">
        <v>2</v>
      </c>
      <c r="AM31" s="39"/>
      <c r="AN31" s="39"/>
      <c r="AO31" s="39">
        <v>3</v>
      </c>
      <c r="AP31" s="39"/>
      <c r="AQ31" s="39">
        <v>2</v>
      </c>
      <c r="AR31" s="39"/>
      <c r="AS31" s="39"/>
      <c r="AT31" s="39"/>
      <c r="AU31" s="39"/>
      <c r="AV31" s="39"/>
      <c r="AW31" s="39">
        <v>209</v>
      </c>
      <c r="AX31" s="39"/>
      <c r="AY31" s="39">
        <v>3</v>
      </c>
      <c r="AZ31" s="39"/>
      <c r="BA31" s="39"/>
      <c r="BB31" s="39">
        <v>2</v>
      </c>
      <c r="BC31" s="39"/>
      <c r="BD31" s="39"/>
      <c r="BE31" s="49">
        <f t="shared" si="13"/>
        <v>531</v>
      </c>
    </row>
    <row r="32" spans="1:57" ht="15" hidden="1" customHeight="1" x14ac:dyDescent="0.2">
      <c r="A32" s="36">
        <v>21</v>
      </c>
      <c r="B32" s="59"/>
      <c r="C32" s="38"/>
      <c r="D32" s="38" t="e">
        <f>VLOOKUP(C32,Planilha1!$J$2:$L$206,3,)</f>
        <v>#N/A</v>
      </c>
      <c r="E32" s="39"/>
      <c r="F32" s="40"/>
      <c r="G32" s="49"/>
      <c r="H32" s="60">
        <f t="shared" si="7"/>
        <v>0</v>
      </c>
      <c r="I32" s="49">
        <f t="shared" si="8"/>
        <v>0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49">
        <f t="shared" si="9"/>
        <v>0</v>
      </c>
      <c r="V32" s="29">
        <f t="shared" si="10"/>
        <v>0</v>
      </c>
      <c r="W32" s="29">
        <f t="shared" si="11"/>
        <v>0</v>
      </c>
      <c r="X32" s="61">
        <f t="shared" si="14"/>
        <v>0</v>
      </c>
      <c r="Y32" s="61"/>
      <c r="Z32" s="61"/>
      <c r="AA32" s="61"/>
      <c r="AB32" s="61"/>
      <c r="AC32" s="61"/>
      <c r="AD32" s="61"/>
      <c r="AE32" s="61">
        <f t="shared" si="12"/>
        <v>0</v>
      </c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49">
        <f t="shared" si="13"/>
        <v>0</v>
      </c>
    </row>
    <row r="33" spans="1:57" ht="15" hidden="1" customHeight="1" x14ac:dyDescent="0.2">
      <c r="A33" s="36">
        <v>22</v>
      </c>
      <c r="B33" s="59"/>
      <c r="C33" s="38"/>
      <c r="D33" s="38" t="e">
        <f>VLOOKUP(C33,Planilha1!$J$2:$L$206,3,)</f>
        <v>#N/A</v>
      </c>
      <c r="E33" s="39"/>
      <c r="F33" s="40"/>
      <c r="G33" s="49"/>
      <c r="H33" s="60">
        <f t="shared" si="7"/>
        <v>0</v>
      </c>
      <c r="I33" s="49">
        <f t="shared" si="8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49">
        <f t="shared" si="9"/>
        <v>0</v>
      </c>
      <c r="V33" s="29">
        <f t="shared" si="10"/>
        <v>0</v>
      </c>
      <c r="W33" s="29">
        <f t="shared" si="11"/>
        <v>0</v>
      </c>
      <c r="X33" s="61">
        <f t="shared" si="14"/>
        <v>0</v>
      </c>
      <c r="Y33" s="61"/>
      <c r="Z33" s="61"/>
      <c r="AA33" s="61"/>
      <c r="AB33" s="61"/>
      <c r="AC33" s="61"/>
      <c r="AD33" s="61"/>
      <c r="AE33" s="49">
        <f t="shared" si="12"/>
        <v>0</v>
      </c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49">
        <f t="shared" si="13"/>
        <v>0</v>
      </c>
    </row>
    <row r="34" spans="1:57" ht="15" hidden="1" customHeight="1" x14ac:dyDescent="0.2">
      <c r="A34" s="36">
        <v>23</v>
      </c>
      <c r="B34" s="59"/>
      <c r="C34" s="38"/>
      <c r="D34" s="38" t="e">
        <f>VLOOKUP(C34,Planilha1!$J$2:$L$206,3,)</f>
        <v>#N/A</v>
      </c>
      <c r="E34" s="39"/>
      <c r="F34" s="40"/>
      <c r="G34" s="49"/>
      <c r="H34" s="60">
        <f t="shared" si="7"/>
        <v>0</v>
      </c>
      <c r="I34" s="49">
        <f t="shared" si="8"/>
        <v>0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49">
        <f t="shared" si="9"/>
        <v>0</v>
      </c>
      <c r="V34" s="29">
        <f t="shared" si="10"/>
        <v>0</v>
      </c>
      <c r="W34" s="29">
        <f t="shared" si="11"/>
        <v>0</v>
      </c>
      <c r="X34" s="61">
        <f t="shared" si="14"/>
        <v>0</v>
      </c>
      <c r="Y34" s="61"/>
      <c r="Z34" s="61"/>
      <c r="AA34" s="61"/>
      <c r="AB34" s="61"/>
      <c r="AC34" s="61"/>
      <c r="AD34" s="61"/>
      <c r="AE34" s="61">
        <f t="shared" si="12"/>
        <v>0</v>
      </c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49">
        <f t="shared" si="13"/>
        <v>0</v>
      </c>
    </row>
    <row r="35" spans="1:57" ht="15" hidden="1" customHeight="1" x14ac:dyDescent="0.2">
      <c r="A35" s="36">
        <v>24</v>
      </c>
      <c r="B35" s="59"/>
      <c r="C35" s="38"/>
      <c r="D35" s="38" t="e">
        <f>VLOOKUP(C35,Planilha1!$J$2:$L$206,3,)</f>
        <v>#N/A</v>
      </c>
      <c r="E35" s="39"/>
      <c r="F35" s="40"/>
      <c r="G35" s="49"/>
      <c r="H35" s="60">
        <f t="shared" si="7"/>
        <v>0</v>
      </c>
      <c r="I35" s="49">
        <f t="shared" si="8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49">
        <f t="shared" si="9"/>
        <v>0</v>
      </c>
      <c r="V35" s="29">
        <f t="shared" si="10"/>
        <v>0</v>
      </c>
      <c r="W35" s="29">
        <f t="shared" si="11"/>
        <v>0</v>
      </c>
      <c r="X35" s="61">
        <f t="shared" si="14"/>
        <v>0</v>
      </c>
      <c r="Y35" s="61"/>
      <c r="Z35" s="61"/>
      <c r="AA35" s="61"/>
      <c r="AB35" s="61"/>
      <c r="AC35" s="61"/>
      <c r="AD35" s="61"/>
      <c r="AE35" s="49">
        <f t="shared" si="12"/>
        <v>0</v>
      </c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49">
        <f t="shared" si="13"/>
        <v>0</v>
      </c>
    </row>
    <row r="36" spans="1:57" ht="15" hidden="1" customHeight="1" x14ac:dyDescent="0.2">
      <c r="A36" s="36">
        <v>25</v>
      </c>
      <c r="B36" s="59"/>
      <c r="C36" s="38"/>
      <c r="D36" s="38" t="e">
        <f>VLOOKUP(C36,Planilha1!$J$2:$L$206,3,)</f>
        <v>#N/A</v>
      </c>
      <c r="E36" s="39"/>
      <c r="F36" s="40"/>
      <c r="G36" s="49"/>
      <c r="H36" s="60">
        <f t="shared" si="7"/>
        <v>0</v>
      </c>
      <c r="I36" s="49">
        <f t="shared" si="8"/>
        <v>0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49">
        <f t="shared" si="9"/>
        <v>0</v>
      </c>
      <c r="V36" s="29">
        <f t="shared" si="10"/>
        <v>0</v>
      </c>
      <c r="W36" s="29">
        <f t="shared" si="11"/>
        <v>0</v>
      </c>
      <c r="X36" s="61">
        <f t="shared" si="14"/>
        <v>0</v>
      </c>
      <c r="Y36" s="61"/>
      <c r="Z36" s="61"/>
      <c r="AA36" s="61"/>
      <c r="AB36" s="61"/>
      <c r="AC36" s="61"/>
      <c r="AD36" s="61"/>
      <c r="AE36" s="61">
        <f t="shared" si="12"/>
        <v>0</v>
      </c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49">
        <f t="shared" si="13"/>
        <v>0</v>
      </c>
    </row>
    <row r="37" spans="1:57" ht="15" hidden="1" customHeight="1" x14ac:dyDescent="0.2">
      <c r="A37" s="36">
        <v>26</v>
      </c>
      <c r="B37" s="59"/>
      <c r="C37" s="38"/>
      <c r="D37" s="38" t="e">
        <f>VLOOKUP(C37,Planilha1!$J$2:$L$206,3,)</f>
        <v>#N/A</v>
      </c>
      <c r="E37" s="39"/>
      <c r="F37" s="40"/>
      <c r="G37" s="49"/>
      <c r="H37" s="60">
        <f t="shared" si="7"/>
        <v>0</v>
      </c>
      <c r="I37" s="49">
        <f t="shared" si="8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49">
        <f t="shared" si="9"/>
        <v>0</v>
      </c>
      <c r="V37" s="29">
        <f t="shared" si="10"/>
        <v>0</v>
      </c>
      <c r="W37" s="29">
        <f t="shared" si="11"/>
        <v>0</v>
      </c>
      <c r="X37" s="61">
        <f t="shared" si="14"/>
        <v>0</v>
      </c>
      <c r="Y37" s="61"/>
      <c r="Z37" s="61"/>
      <c r="AA37" s="61"/>
      <c r="AB37" s="61"/>
      <c r="AC37" s="61"/>
      <c r="AD37" s="61"/>
      <c r="AE37" s="49">
        <f t="shared" si="12"/>
        <v>0</v>
      </c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49">
        <f t="shared" si="13"/>
        <v>0</v>
      </c>
    </row>
    <row r="38" spans="1:57" ht="15" hidden="1" customHeight="1" x14ac:dyDescent="0.2">
      <c r="A38" s="36">
        <v>27</v>
      </c>
      <c r="B38" s="59"/>
      <c r="C38" s="38"/>
      <c r="D38" s="38" t="e">
        <f>VLOOKUP(C38,Planilha1!$J$2:$L$206,3,)</f>
        <v>#N/A</v>
      </c>
      <c r="E38" s="39"/>
      <c r="F38" s="40"/>
      <c r="G38" s="49"/>
      <c r="H38" s="60">
        <f t="shared" si="7"/>
        <v>0</v>
      </c>
      <c r="I38" s="49">
        <f t="shared" si="8"/>
        <v>0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49">
        <f t="shared" si="9"/>
        <v>0</v>
      </c>
      <c r="V38" s="29">
        <f t="shared" si="10"/>
        <v>0</v>
      </c>
      <c r="W38" s="29">
        <f t="shared" si="11"/>
        <v>0</v>
      </c>
      <c r="X38" s="61">
        <f t="shared" si="14"/>
        <v>0</v>
      </c>
      <c r="Y38" s="61"/>
      <c r="Z38" s="61"/>
      <c r="AA38" s="61"/>
      <c r="AB38" s="61"/>
      <c r="AC38" s="61"/>
      <c r="AD38" s="61"/>
      <c r="AE38" s="61">
        <f t="shared" si="12"/>
        <v>0</v>
      </c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49">
        <f t="shared" si="13"/>
        <v>0</v>
      </c>
    </row>
    <row r="39" spans="1:57" ht="15" hidden="1" customHeight="1" x14ac:dyDescent="0.2">
      <c r="A39" s="36">
        <v>28</v>
      </c>
      <c r="B39" s="59"/>
      <c r="C39" s="38"/>
      <c r="D39" s="38" t="e">
        <f>VLOOKUP(C39,Planilha1!$J$2:$L$206,3,)</f>
        <v>#N/A</v>
      </c>
      <c r="E39" s="39"/>
      <c r="F39" s="40"/>
      <c r="G39" s="49"/>
      <c r="H39" s="60">
        <f t="shared" si="7"/>
        <v>0</v>
      </c>
      <c r="I39" s="49">
        <f t="shared" si="8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49">
        <f t="shared" si="9"/>
        <v>0</v>
      </c>
      <c r="V39" s="29">
        <f t="shared" si="10"/>
        <v>0</v>
      </c>
      <c r="W39" s="29">
        <f t="shared" si="11"/>
        <v>0</v>
      </c>
      <c r="X39" s="61">
        <f t="shared" si="14"/>
        <v>0</v>
      </c>
      <c r="Y39" s="61"/>
      <c r="Z39" s="61"/>
      <c r="AA39" s="61"/>
      <c r="AB39" s="61"/>
      <c r="AC39" s="61"/>
      <c r="AD39" s="61"/>
      <c r="AE39" s="49">
        <f t="shared" si="12"/>
        <v>0</v>
      </c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49">
        <f t="shared" si="13"/>
        <v>0</v>
      </c>
    </row>
    <row r="40" spans="1:57" ht="15" hidden="1" customHeight="1" x14ac:dyDescent="0.2">
      <c r="A40" s="36">
        <v>29</v>
      </c>
      <c r="B40" s="59"/>
      <c r="C40" s="38"/>
      <c r="D40" s="38" t="e">
        <f>VLOOKUP(C40,Planilha1!$J$2:$L$206,3,)</f>
        <v>#N/A</v>
      </c>
      <c r="E40" s="39"/>
      <c r="F40" s="40"/>
      <c r="G40" s="49"/>
      <c r="H40" s="60">
        <f t="shared" si="7"/>
        <v>0</v>
      </c>
      <c r="I40" s="49">
        <f t="shared" si="8"/>
        <v>0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49">
        <f t="shared" si="9"/>
        <v>0</v>
      </c>
      <c r="V40" s="29">
        <f t="shared" si="10"/>
        <v>0</v>
      </c>
      <c r="W40" s="29">
        <f t="shared" si="11"/>
        <v>0</v>
      </c>
      <c r="X40" s="61">
        <f t="shared" si="14"/>
        <v>0</v>
      </c>
      <c r="Y40" s="61"/>
      <c r="Z40" s="61"/>
      <c r="AA40" s="61"/>
      <c r="AB40" s="61"/>
      <c r="AC40" s="61"/>
      <c r="AD40" s="61"/>
      <c r="AE40" s="61">
        <f t="shared" si="12"/>
        <v>0</v>
      </c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49">
        <f t="shared" si="13"/>
        <v>0</v>
      </c>
    </row>
    <row r="41" spans="1:57" ht="15" hidden="1" customHeight="1" x14ac:dyDescent="0.2">
      <c r="A41" s="36">
        <v>30</v>
      </c>
      <c r="B41" s="59"/>
      <c r="C41" s="38"/>
      <c r="D41" s="38" t="e">
        <f>VLOOKUP(C41,Planilha1!$J$2:$L$206,3,)</f>
        <v>#N/A</v>
      </c>
      <c r="E41" s="39"/>
      <c r="F41" s="40"/>
      <c r="G41" s="49"/>
      <c r="H41" s="60">
        <f t="shared" si="7"/>
        <v>0</v>
      </c>
      <c r="I41" s="49">
        <f t="shared" si="8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49">
        <f t="shared" si="9"/>
        <v>0</v>
      </c>
      <c r="V41" s="29">
        <f t="shared" si="10"/>
        <v>0</v>
      </c>
      <c r="W41" s="29">
        <f t="shared" si="11"/>
        <v>0</v>
      </c>
      <c r="X41" s="61">
        <f t="shared" si="14"/>
        <v>0</v>
      </c>
      <c r="Y41" s="61"/>
      <c r="Z41" s="61"/>
      <c r="AA41" s="61"/>
      <c r="AB41" s="61"/>
      <c r="AC41" s="61"/>
      <c r="AD41" s="61"/>
      <c r="AE41" s="49">
        <f t="shared" si="12"/>
        <v>0</v>
      </c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49">
        <f t="shared" si="13"/>
        <v>0</v>
      </c>
    </row>
    <row r="42" spans="1:57" ht="15" hidden="1" customHeight="1" x14ac:dyDescent="0.2">
      <c r="A42" s="36">
        <v>31</v>
      </c>
      <c r="B42" s="59"/>
      <c r="C42" s="38"/>
      <c r="D42" s="38" t="e">
        <f>VLOOKUP(C42,Planilha1!$J$2:$L$206,3,)</f>
        <v>#N/A</v>
      </c>
      <c r="E42" s="39"/>
      <c r="F42" s="40"/>
      <c r="G42" s="49"/>
      <c r="H42" s="60">
        <f t="shared" si="7"/>
        <v>0</v>
      </c>
      <c r="I42" s="49">
        <f t="shared" si="8"/>
        <v>0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49">
        <f t="shared" si="9"/>
        <v>0</v>
      </c>
      <c r="V42" s="29">
        <f t="shared" si="10"/>
        <v>0</v>
      </c>
      <c r="W42" s="29">
        <f t="shared" si="11"/>
        <v>0</v>
      </c>
      <c r="X42" s="61">
        <f t="shared" si="14"/>
        <v>0</v>
      </c>
      <c r="Y42" s="61"/>
      <c r="Z42" s="61"/>
      <c r="AA42" s="61"/>
      <c r="AB42" s="61"/>
      <c r="AC42" s="61"/>
      <c r="AD42" s="61"/>
      <c r="AE42" s="61">
        <f t="shared" si="12"/>
        <v>0</v>
      </c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49">
        <f t="shared" si="13"/>
        <v>0</v>
      </c>
    </row>
    <row r="43" spans="1:57" ht="15" hidden="1" customHeight="1" x14ac:dyDescent="0.2">
      <c r="A43" s="36">
        <v>32</v>
      </c>
      <c r="B43" s="59"/>
      <c r="C43" s="38"/>
      <c r="D43" s="38" t="e">
        <f>VLOOKUP(C43,Planilha1!$J$2:$L$206,3,)</f>
        <v>#N/A</v>
      </c>
      <c r="E43" s="39"/>
      <c r="F43" s="40"/>
      <c r="G43" s="49"/>
      <c r="H43" s="60">
        <f t="shared" si="7"/>
        <v>0</v>
      </c>
      <c r="I43" s="49">
        <f t="shared" si="8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49">
        <f t="shared" si="9"/>
        <v>0</v>
      </c>
      <c r="V43" s="29">
        <f t="shared" si="10"/>
        <v>0</v>
      </c>
      <c r="W43" s="29">
        <f t="shared" si="11"/>
        <v>0</v>
      </c>
      <c r="X43" s="61">
        <f t="shared" si="14"/>
        <v>0</v>
      </c>
      <c r="Y43" s="61"/>
      <c r="Z43" s="61"/>
      <c r="AA43" s="61"/>
      <c r="AB43" s="61"/>
      <c r="AC43" s="61"/>
      <c r="AD43" s="61"/>
      <c r="AE43" s="49">
        <f t="shared" si="12"/>
        <v>0</v>
      </c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49">
        <f t="shared" si="13"/>
        <v>0</v>
      </c>
    </row>
    <row r="44" spans="1:57" ht="15" hidden="1" customHeight="1" x14ac:dyDescent="0.2">
      <c r="A44" s="36">
        <v>33</v>
      </c>
      <c r="B44" s="59"/>
      <c r="C44" s="38"/>
      <c r="D44" s="38" t="e">
        <f>VLOOKUP(C44,Planilha1!$J$2:$L$206,3,)</f>
        <v>#N/A</v>
      </c>
      <c r="E44" s="39"/>
      <c r="F44" s="40"/>
      <c r="G44" s="49"/>
      <c r="H44" s="60">
        <f t="shared" si="7"/>
        <v>0</v>
      </c>
      <c r="I44" s="49">
        <f t="shared" si="8"/>
        <v>0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49">
        <f t="shared" si="9"/>
        <v>0</v>
      </c>
      <c r="V44" s="29">
        <f t="shared" si="10"/>
        <v>0</v>
      </c>
      <c r="W44" s="29">
        <f t="shared" si="11"/>
        <v>0</v>
      </c>
      <c r="X44" s="61">
        <f t="shared" si="14"/>
        <v>0</v>
      </c>
      <c r="Y44" s="61"/>
      <c r="Z44" s="61"/>
      <c r="AA44" s="61"/>
      <c r="AB44" s="61"/>
      <c r="AC44" s="61"/>
      <c r="AD44" s="61"/>
      <c r="AE44" s="61">
        <f t="shared" si="12"/>
        <v>0</v>
      </c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49">
        <f t="shared" si="13"/>
        <v>0</v>
      </c>
    </row>
    <row r="45" spans="1:57" ht="15" hidden="1" customHeight="1" x14ac:dyDescent="0.2">
      <c r="A45" s="36">
        <v>34</v>
      </c>
      <c r="B45" s="59"/>
      <c r="C45" s="38"/>
      <c r="D45" s="38" t="e">
        <f>VLOOKUP(C45,Planilha1!$J$2:$L$206,3,)</f>
        <v>#N/A</v>
      </c>
      <c r="E45" s="39"/>
      <c r="F45" s="40"/>
      <c r="G45" s="49"/>
      <c r="H45" s="60">
        <f t="shared" si="7"/>
        <v>0</v>
      </c>
      <c r="I45" s="49">
        <f t="shared" si="8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49">
        <f t="shared" si="9"/>
        <v>0</v>
      </c>
      <c r="V45" s="29">
        <f t="shared" si="10"/>
        <v>0</v>
      </c>
      <c r="W45" s="29">
        <f t="shared" si="11"/>
        <v>0</v>
      </c>
      <c r="X45" s="61">
        <f t="shared" si="14"/>
        <v>0</v>
      </c>
      <c r="Y45" s="61"/>
      <c r="Z45" s="61"/>
      <c r="AA45" s="61"/>
      <c r="AB45" s="61"/>
      <c r="AC45" s="61"/>
      <c r="AD45" s="61"/>
      <c r="AE45" s="49">
        <f t="shared" si="12"/>
        <v>0</v>
      </c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49">
        <f t="shared" si="13"/>
        <v>0</v>
      </c>
    </row>
    <row r="46" spans="1:57" ht="15" hidden="1" customHeight="1" x14ac:dyDescent="0.2">
      <c r="A46" s="36">
        <v>35</v>
      </c>
      <c r="B46" s="59"/>
      <c r="C46" s="38"/>
      <c r="D46" s="38" t="e">
        <f>VLOOKUP(C46,Planilha1!$J$2:$L$206,3,)</f>
        <v>#N/A</v>
      </c>
      <c r="E46" s="39"/>
      <c r="F46" s="40"/>
      <c r="G46" s="49"/>
      <c r="H46" s="60">
        <f t="shared" si="7"/>
        <v>0</v>
      </c>
      <c r="I46" s="49">
        <f t="shared" si="8"/>
        <v>0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49">
        <f t="shared" si="9"/>
        <v>0</v>
      </c>
      <c r="V46" s="29">
        <f t="shared" si="10"/>
        <v>0</v>
      </c>
      <c r="W46" s="29">
        <f t="shared" si="11"/>
        <v>0</v>
      </c>
      <c r="X46" s="61">
        <f t="shared" si="14"/>
        <v>0</v>
      </c>
      <c r="Y46" s="61"/>
      <c r="Z46" s="61"/>
      <c r="AA46" s="61"/>
      <c r="AB46" s="61"/>
      <c r="AC46" s="61"/>
      <c r="AD46" s="61"/>
      <c r="AE46" s="61">
        <f t="shared" si="12"/>
        <v>0</v>
      </c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49">
        <f t="shared" si="13"/>
        <v>0</v>
      </c>
    </row>
    <row r="47" spans="1:57" ht="15" hidden="1" customHeight="1" x14ac:dyDescent="0.2">
      <c r="A47" s="36">
        <v>36</v>
      </c>
      <c r="B47" s="59"/>
      <c r="C47" s="38"/>
      <c r="D47" s="38" t="e">
        <f>VLOOKUP(C47,Planilha1!$J$2:$L$206,3,)</f>
        <v>#N/A</v>
      </c>
      <c r="E47" s="39"/>
      <c r="F47" s="40"/>
      <c r="G47" s="49"/>
      <c r="H47" s="60">
        <f t="shared" si="7"/>
        <v>0</v>
      </c>
      <c r="I47" s="49">
        <f t="shared" si="8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49">
        <f t="shared" si="9"/>
        <v>0</v>
      </c>
      <c r="V47" s="29">
        <f t="shared" si="10"/>
        <v>0</v>
      </c>
      <c r="W47" s="29">
        <f t="shared" si="11"/>
        <v>0</v>
      </c>
      <c r="X47" s="61">
        <f t="shared" si="14"/>
        <v>0</v>
      </c>
      <c r="Y47" s="61"/>
      <c r="Z47" s="61"/>
      <c r="AA47" s="61"/>
      <c r="AB47" s="61"/>
      <c r="AC47" s="61"/>
      <c r="AD47" s="61"/>
      <c r="AE47" s="49">
        <f t="shared" si="12"/>
        <v>0</v>
      </c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49">
        <f t="shared" si="13"/>
        <v>0</v>
      </c>
    </row>
    <row r="48" spans="1:57" ht="15" hidden="1" customHeight="1" x14ac:dyDescent="0.2">
      <c r="A48" s="36">
        <v>37</v>
      </c>
      <c r="B48" s="59"/>
      <c r="C48" s="38"/>
      <c r="D48" s="38" t="e">
        <f>VLOOKUP(C48,Planilha1!$J$2:$L$206,3,)</f>
        <v>#N/A</v>
      </c>
      <c r="E48" s="39"/>
      <c r="F48" s="40"/>
      <c r="G48" s="49"/>
      <c r="H48" s="60">
        <f t="shared" si="7"/>
        <v>0</v>
      </c>
      <c r="I48" s="49">
        <f t="shared" si="8"/>
        <v>0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49">
        <f t="shared" si="9"/>
        <v>0</v>
      </c>
      <c r="V48" s="29">
        <f t="shared" si="10"/>
        <v>0</v>
      </c>
      <c r="W48" s="29">
        <f t="shared" si="11"/>
        <v>0</v>
      </c>
      <c r="X48" s="61">
        <f t="shared" si="14"/>
        <v>0</v>
      </c>
      <c r="Y48" s="61"/>
      <c r="Z48" s="61"/>
      <c r="AA48" s="61"/>
      <c r="AB48" s="61"/>
      <c r="AC48" s="61"/>
      <c r="AD48" s="61"/>
      <c r="AE48" s="61">
        <f t="shared" si="12"/>
        <v>0</v>
      </c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49">
        <f t="shared" si="13"/>
        <v>0</v>
      </c>
    </row>
    <row r="49" spans="1:57" ht="15" hidden="1" customHeight="1" x14ac:dyDescent="0.2">
      <c r="A49" s="36">
        <v>38</v>
      </c>
      <c r="B49" s="59"/>
      <c r="C49" s="38"/>
      <c r="D49" s="38" t="e">
        <f>VLOOKUP(C49,Planilha1!$J$2:$L$206,3,)</f>
        <v>#N/A</v>
      </c>
      <c r="E49" s="39"/>
      <c r="F49" s="40"/>
      <c r="G49" s="49"/>
      <c r="H49" s="60">
        <f t="shared" si="7"/>
        <v>0</v>
      </c>
      <c r="I49" s="49">
        <f t="shared" si="8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49">
        <f t="shared" si="9"/>
        <v>0</v>
      </c>
      <c r="V49" s="29">
        <f t="shared" si="10"/>
        <v>0</v>
      </c>
      <c r="W49" s="29">
        <f t="shared" si="11"/>
        <v>0</v>
      </c>
      <c r="X49" s="61">
        <f t="shared" si="14"/>
        <v>0</v>
      </c>
      <c r="Y49" s="61"/>
      <c r="Z49" s="61"/>
      <c r="AA49" s="61"/>
      <c r="AB49" s="61"/>
      <c r="AC49" s="61"/>
      <c r="AD49" s="61"/>
      <c r="AE49" s="49">
        <f t="shared" si="12"/>
        <v>0</v>
      </c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49">
        <f t="shared" si="13"/>
        <v>0</v>
      </c>
    </row>
    <row r="50" spans="1:57" ht="15" hidden="1" customHeight="1" x14ac:dyDescent="0.2">
      <c r="A50" s="36">
        <v>39</v>
      </c>
      <c r="B50" s="59"/>
      <c r="C50" s="38"/>
      <c r="D50" s="38" t="e">
        <f>VLOOKUP(C50,Planilha1!$J$2:$L$206,3,)</f>
        <v>#N/A</v>
      </c>
      <c r="E50" s="39"/>
      <c r="F50" s="40"/>
      <c r="G50" s="49"/>
      <c r="H50" s="60">
        <f t="shared" si="7"/>
        <v>0</v>
      </c>
      <c r="I50" s="49">
        <f t="shared" si="8"/>
        <v>0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49">
        <f t="shared" si="9"/>
        <v>0</v>
      </c>
      <c r="V50" s="29">
        <f t="shared" si="10"/>
        <v>0</v>
      </c>
      <c r="W50" s="29">
        <f t="shared" si="11"/>
        <v>0</v>
      </c>
      <c r="X50" s="61">
        <f t="shared" si="14"/>
        <v>0</v>
      </c>
      <c r="Y50" s="61"/>
      <c r="Z50" s="61"/>
      <c r="AA50" s="61"/>
      <c r="AB50" s="61"/>
      <c r="AC50" s="61"/>
      <c r="AD50" s="61"/>
      <c r="AE50" s="61">
        <f t="shared" si="12"/>
        <v>0</v>
      </c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49">
        <f t="shared" si="13"/>
        <v>0</v>
      </c>
    </row>
    <row r="51" spans="1:57" ht="15" hidden="1" customHeight="1" x14ac:dyDescent="0.2">
      <c r="A51" s="36">
        <v>40</v>
      </c>
      <c r="B51" s="59"/>
      <c r="C51" s="38"/>
      <c r="D51" s="38" t="e">
        <f>VLOOKUP(C51,Planilha1!$J$2:$L$206,3,)</f>
        <v>#N/A</v>
      </c>
      <c r="E51" s="39"/>
      <c r="F51" s="40"/>
      <c r="G51" s="49"/>
      <c r="H51" s="60">
        <f t="shared" si="7"/>
        <v>0</v>
      </c>
      <c r="I51" s="49">
        <f t="shared" si="8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49">
        <f t="shared" si="9"/>
        <v>0</v>
      </c>
      <c r="V51" s="29">
        <f t="shared" si="10"/>
        <v>0</v>
      </c>
      <c r="W51" s="29">
        <f t="shared" si="11"/>
        <v>0</v>
      </c>
      <c r="X51" s="61">
        <f t="shared" si="14"/>
        <v>0</v>
      </c>
      <c r="Y51" s="61"/>
      <c r="Z51" s="61"/>
      <c r="AA51" s="61"/>
      <c r="AB51" s="61"/>
      <c r="AC51" s="61"/>
      <c r="AD51" s="61"/>
      <c r="AE51" s="49">
        <f t="shared" si="12"/>
        <v>0</v>
      </c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49">
        <f t="shared" si="13"/>
        <v>0</v>
      </c>
    </row>
    <row r="52" spans="1:57" ht="15" hidden="1" customHeight="1" x14ac:dyDescent="0.2">
      <c r="A52" s="36">
        <v>41</v>
      </c>
      <c r="B52" s="59"/>
      <c r="C52" s="38"/>
      <c r="D52" s="38" t="e">
        <f>VLOOKUP(C52,Planilha1!$J$2:$L$206,3,)</f>
        <v>#N/A</v>
      </c>
      <c r="E52" s="39"/>
      <c r="F52" s="40"/>
      <c r="G52" s="49"/>
      <c r="H52" s="60">
        <f t="shared" si="7"/>
        <v>0</v>
      </c>
      <c r="I52" s="49">
        <f t="shared" si="8"/>
        <v>0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49">
        <f t="shared" si="9"/>
        <v>0</v>
      </c>
      <c r="V52" s="29">
        <f t="shared" si="10"/>
        <v>0</v>
      </c>
      <c r="W52" s="29">
        <f t="shared" si="11"/>
        <v>0</v>
      </c>
      <c r="X52" s="61">
        <f t="shared" si="14"/>
        <v>0</v>
      </c>
      <c r="Y52" s="61"/>
      <c r="Z52" s="61"/>
      <c r="AA52" s="61"/>
      <c r="AB52" s="61"/>
      <c r="AC52" s="61"/>
      <c r="AD52" s="61"/>
      <c r="AE52" s="61">
        <f t="shared" si="12"/>
        <v>0</v>
      </c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49">
        <f t="shared" si="13"/>
        <v>0</v>
      </c>
    </row>
    <row r="53" spans="1:57" ht="15" hidden="1" customHeight="1" x14ac:dyDescent="0.2">
      <c r="A53" s="36">
        <v>42</v>
      </c>
      <c r="B53" s="59"/>
      <c r="C53" s="38"/>
      <c r="D53" s="38" t="e">
        <f>VLOOKUP(C53,Planilha1!$J$2:$L$206,3,)</f>
        <v>#N/A</v>
      </c>
      <c r="E53" s="39"/>
      <c r="F53" s="40"/>
      <c r="G53" s="49"/>
      <c r="H53" s="60">
        <f t="shared" si="7"/>
        <v>0</v>
      </c>
      <c r="I53" s="49">
        <f t="shared" si="8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49">
        <f t="shared" si="9"/>
        <v>0</v>
      </c>
      <c r="V53" s="29">
        <f t="shared" si="10"/>
        <v>0</v>
      </c>
      <c r="W53" s="29">
        <f t="shared" si="11"/>
        <v>0</v>
      </c>
      <c r="X53" s="61">
        <f t="shared" si="14"/>
        <v>0</v>
      </c>
      <c r="Y53" s="61"/>
      <c r="Z53" s="61"/>
      <c r="AA53" s="61"/>
      <c r="AB53" s="61"/>
      <c r="AC53" s="61"/>
      <c r="AD53" s="61"/>
      <c r="AE53" s="49">
        <f t="shared" si="12"/>
        <v>0</v>
      </c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49">
        <f t="shared" si="13"/>
        <v>0</v>
      </c>
    </row>
    <row r="54" spans="1:57" ht="15" hidden="1" customHeight="1" x14ac:dyDescent="0.2">
      <c r="A54" s="36">
        <v>43</v>
      </c>
      <c r="B54" s="59"/>
      <c r="C54" s="38"/>
      <c r="D54" s="38" t="e">
        <f>VLOOKUP(C54,Planilha1!$J$2:$L$206,3,)</f>
        <v>#N/A</v>
      </c>
      <c r="E54" s="39"/>
      <c r="F54" s="40"/>
      <c r="G54" s="49"/>
      <c r="H54" s="60">
        <f t="shared" si="7"/>
        <v>0</v>
      </c>
      <c r="I54" s="49">
        <f t="shared" si="8"/>
        <v>0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49">
        <f t="shared" si="9"/>
        <v>0</v>
      </c>
      <c r="V54" s="29">
        <f t="shared" si="10"/>
        <v>0</v>
      </c>
      <c r="W54" s="29">
        <f t="shared" si="11"/>
        <v>0</v>
      </c>
      <c r="X54" s="61">
        <f t="shared" si="14"/>
        <v>0</v>
      </c>
      <c r="Y54" s="61"/>
      <c r="Z54" s="61"/>
      <c r="AA54" s="61"/>
      <c r="AB54" s="61"/>
      <c r="AC54" s="61"/>
      <c r="AD54" s="61"/>
      <c r="AE54" s="61">
        <f t="shared" si="12"/>
        <v>0</v>
      </c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49">
        <f t="shared" si="13"/>
        <v>0</v>
      </c>
    </row>
    <row r="55" spans="1:57" ht="15" hidden="1" customHeight="1" x14ac:dyDescent="0.2">
      <c r="A55" s="36">
        <v>44</v>
      </c>
      <c r="B55" s="59"/>
      <c r="C55" s="38"/>
      <c r="D55" s="38" t="e">
        <f>VLOOKUP(C55,Planilha1!$J$2:$L$206,3,)</f>
        <v>#N/A</v>
      </c>
      <c r="E55" s="39"/>
      <c r="F55" s="40"/>
      <c r="G55" s="49"/>
      <c r="H55" s="60">
        <f t="shared" si="7"/>
        <v>0</v>
      </c>
      <c r="I55" s="49">
        <f t="shared" si="8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49">
        <f t="shared" si="9"/>
        <v>0</v>
      </c>
      <c r="V55" s="29">
        <f t="shared" si="10"/>
        <v>0</v>
      </c>
      <c r="W55" s="29">
        <f t="shared" si="11"/>
        <v>0</v>
      </c>
      <c r="X55" s="61">
        <f t="shared" si="14"/>
        <v>0</v>
      </c>
      <c r="Y55" s="61"/>
      <c r="Z55" s="61"/>
      <c r="AA55" s="61"/>
      <c r="AB55" s="61"/>
      <c r="AC55" s="61"/>
      <c r="AD55" s="61"/>
      <c r="AE55" s="49">
        <f t="shared" si="12"/>
        <v>0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49">
        <f t="shared" si="13"/>
        <v>0</v>
      </c>
    </row>
    <row r="56" spans="1:57" ht="15" hidden="1" customHeight="1" x14ac:dyDescent="0.2">
      <c r="A56" s="36">
        <v>45</v>
      </c>
      <c r="B56" s="59"/>
      <c r="C56" s="38"/>
      <c r="D56" s="38" t="e">
        <f>VLOOKUP(C56,Planilha1!$J$2:$L$206,3,)</f>
        <v>#N/A</v>
      </c>
      <c r="E56" s="39"/>
      <c r="F56" s="40"/>
      <c r="G56" s="49"/>
      <c r="H56" s="60">
        <f t="shared" si="7"/>
        <v>0</v>
      </c>
      <c r="I56" s="49">
        <f t="shared" si="8"/>
        <v>0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49">
        <f t="shared" si="9"/>
        <v>0</v>
      </c>
      <c r="V56" s="29">
        <f t="shared" si="10"/>
        <v>0</v>
      </c>
      <c r="W56" s="29">
        <f t="shared" si="11"/>
        <v>0</v>
      </c>
      <c r="X56" s="61">
        <f t="shared" si="14"/>
        <v>0</v>
      </c>
      <c r="Y56" s="61"/>
      <c r="Z56" s="61"/>
      <c r="AA56" s="61"/>
      <c r="AB56" s="61"/>
      <c r="AC56" s="61"/>
      <c r="AD56" s="61"/>
      <c r="AE56" s="61">
        <f t="shared" si="12"/>
        <v>0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49">
        <f t="shared" si="13"/>
        <v>0</v>
      </c>
    </row>
    <row r="57" spans="1:57" ht="15" hidden="1" customHeight="1" x14ac:dyDescent="0.2">
      <c r="A57" s="36">
        <v>46</v>
      </c>
      <c r="B57" s="59"/>
      <c r="C57" s="38"/>
      <c r="D57" s="38" t="e">
        <f>VLOOKUP(C57,Planilha1!$J$2:$L$206,3,)</f>
        <v>#N/A</v>
      </c>
      <c r="E57" s="39"/>
      <c r="F57" s="40"/>
      <c r="G57" s="49"/>
      <c r="H57" s="60">
        <f t="shared" si="7"/>
        <v>0</v>
      </c>
      <c r="I57" s="49">
        <f t="shared" si="8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49">
        <f t="shared" si="9"/>
        <v>0</v>
      </c>
      <c r="V57" s="29">
        <f t="shared" si="10"/>
        <v>0</v>
      </c>
      <c r="W57" s="29">
        <f t="shared" si="11"/>
        <v>0</v>
      </c>
      <c r="X57" s="61">
        <f t="shared" si="14"/>
        <v>0</v>
      </c>
      <c r="Y57" s="61"/>
      <c r="Z57" s="61"/>
      <c r="AA57" s="61"/>
      <c r="AB57" s="61"/>
      <c r="AC57" s="61"/>
      <c r="AD57" s="61"/>
      <c r="AE57" s="49">
        <f t="shared" si="12"/>
        <v>0</v>
      </c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49">
        <f t="shared" si="13"/>
        <v>0</v>
      </c>
    </row>
    <row r="58" spans="1:57" ht="15" hidden="1" customHeight="1" x14ac:dyDescent="0.2">
      <c r="A58" s="36">
        <v>47</v>
      </c>
      <c r="B58" s="59"/>
      <c r="C58" s="38"/>
      <c r="D58" s="38" t="e">
        <f>VLOOKUP(C58,Planilha1!$J$2:$L$206,3,)</f>
        <v>#N/A</v>
      </c>
      <c r="E58" s="39"/>
      <c r="F58" s="40"/>
      <c r="G58" s="49"/>
      <c r="H58" s="60">
        <f t="shared" si="7"/>
        <v>0</v>
      </c>
      <c r="I58" s="49">
        <f t="shared" si="8"/>
        <v>0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49">
        <f t="shared" si="9"/>
        <v>0</v>
      </c>
      <c r="V58" s="29">
        <f t="shared" si="10"/>
        <v>0</v>
      </c>
      <c r="W58" s="29">
        <f t="shared" si="11"/>
        <v>0</v>
      </c>
      <c r="X58" s="61">
        <f t="shared" si="14"/>
        <v>0</v>
      </c>
      <c r="Y58" s="61"/>
      <c r="Z58" s="61"/>
      <c r="AA58" s="61"/>
      <c r="AB58" s="61"/>
      <c r="AC58" s="61"/>
      <c r="AD58" s="61"/>
      <c r="AE58" s="61">
        <f t="shared" si="12"/>
        <v>0</v>
      </c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49">
        <f t="shared" si="13"/>
        <v>0</v>
      </c>
    </row>
    <row r="59" spans="1:57" ht="15" hidden="1" customHeight="1" x14ac:dyDescent="0.2">
      <c r="A59" s="36">
        <v>48</v>
      </c>
      <c r="B59" s="59"/>
      <c r="C59" s="38"/>
      <c r="D59" s="38" t="e">
        <f>VLOOKUP(C59,Planilha1!$J$2:$L$206,3,)</f>
        <v>#N/A</v>
      </c>
      <c r="E59" s="39"/>
      <c r="F59" s="40"/>
      <c r="G59" s="49"/>
      <c r="H59" s="60">
        <f t="shared" si="7"/>
        <v>0</v>
      </c>
      <c r="I59" s="49">
        <f t="shared" si="8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9">
        <f t="shared" si="9"/>
        <v>0</v>
      </c>
      <c r="V59" s="29">
        <f t="shared" si="10"/>
        <v>0</v>
      </c>
      <c r="W59" s="29">
        <f t="shared" si="11"/>
        <v>0</v>
      </c>
      <c r="X59" s="61">
        <f t="shared" si="14"/>
        <v>0</v>
      </c>
      <c r="Y59" s="61"/>
      <c r="Z59" s="61"/>
      <c r="AA59" s="61"/>
      <c r="AB59" s="61"/>
      <c r="AC59" s="61"/>
      <c r="AD59" s="61"/>
      <c r="AE59" s="49">
        <f t="shared" si="12"/>
        <v>0</v>
      </c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49">
        <f t="shared" si="13"/>
        <v>0</v>
      </c>
    </row>
    <row r="60" spans="1:57" ht="15" hidden="1" customHeight="1" x14ac:dyDescent="0.2">
      <c r="A60" s="36">
        <v>49</v>
      </c>
      <c r="B60" s="59"/>
      <c r="C60" s="38"/>
      <c r="D60" s="38" t="e">
        <f>VLOOKUP(C60,Planilha1!$J$2:$L$206,3,)</f>
        <v>#N/A</v>
      </c>
      <c r="E60" s="39"/>
      <c r="F60" s="40"/>
      <c r="G60" s="49"/>
      <c r="H60" s="60">
        <f t="shared" si="7"/>
        <v>0</v>
      </c>
      <c r="I60" s="49">
        <f t="shared" si="8"/>
        <v>0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49">
        <f t="shared" si="9"/>
        <v>0</v>
      </c>
      <c r="V60" s="29">
        <f t="shared" si="10"/>
        <v>0</v>
      </c>
      <c r="W60" s="29">
        <f t="shared" si="11"/>
        <v>0</v>
      </c>
      <c r="X60" s="61">
        <f t="shared" si="14"/>
        <v>0</v>
      </c>
      <c r="Y60" s="61"/>
      <c r="Z60" s="61"/>
      <c r="AA60" s="61"/>
      <c r="AB60" s="61"/>
      <c r="AC60" s="61"/>
      <c r="AD60" s="61"/>
      <c r="AE60" s="61">
        <f t="shared" si="12"/>
        <v>0</v>
      </c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49">
        <f t="shared" si="13"/>
        <v>0</v>
      </c>
    </row>
    <row r="61" spans="1:57" ht="15" hidden="1" customHeight="1" x14ac:dyDescent="0.2">
      <c r="A61" s="36">
        <v>50</v>
      </c>
      <c r="B61" s="59"/>
      <c r="C61" s="38"/>
      <c r="D61" s="38" t="e">
        <f>VLOOKUP(C61,Planilha1!$J$2:$L$206,3,)</f>
        <v>#N/A</v>
      </c>
      <c r="E61" s="39"/>
      <c r="F61" s="40"/>
      <c r="G61" s="49"/>
      <c r="H61" s="60">
        <f t="shared" si="7"/>
        <v>0</v>
      </c>
      <c r="I61" s="49">
        <f t="shared" si="8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49">
        <f t="shared" si="9"/>
        <v>0</v>
      </c>
      <c r="V61" s="29">
        <f t="shared" si="10"/>
        <v>0</v>
      </c>
      <c r="W61" s="29">
        <f t="shared" si="11"/>
        <v>0</v>
      </c>
      <c r="X61" s="61">
        <f t="shared" si="14"/>
        <v>0</v>
      </c>
      <c r="Y61" s="61"/>
      <c r="Z61" s="61"/>
      <c r="AA61" s="61"/>
      <c r="AB61" s="61"/>
      <c r="AC61" s="61"/>
      <c r="AD61" s="61"/>
      <c r="AE61" s="49">
        <f t="shared" si="12"/>
        <v>0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49">
        <f t="shared" si="13"/>
        <v>0</v>
      </c>
    </row>
    <row r="62" spans="1:57" ht="15" hidden="1" customHeight="1" x14ac:dyDescent="0.2">
      <c r="A62" s="36">
        <v>51</v>
      </c>
      <c r="B62" s="59"/>
      <c r="C62" s="38"/>
      <c r="D62" s="38" t="e">
        <f>VLOOKUP(C62,Planilha1!$J$2:$L$206,3,)</f>
        <v>#N/A</v>
      </c>
      <c r="E62" s="39"/>
      <c r="F62" s="40"/>
      <c r="G62" s="49"/>
      <c r="H62" s="60">
        <f t="shared" si="7"/>
        <v>0</v>
      </c>
      <c r="I62" s="49">
        <f t="shared" si="8"/>
        <v>0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49">
        <f t="shared" si="9"/>
        <v>0</v>
      </c>
      <c r="V62" s="29">
        <f t="shared" si="10"/>
        <v>0</v>
      </c>
      <c r="W62" s="29">
        <f t="shared" si="11"/>
        <v>0</v>
      </c>
      <c r="X62" s="61">
        <f t="shared" si="14"/>
        <v>0</v>
      </c>
      <c r="Y62" s="61"/>
      <c r="Z62" s="61"/>
      <c r="AA62" s="61"/>
      <c r="AB62" s="61"/>
      <c r="AC62" s="61"/>
      <c r="AD62" s="61"/>
      <c r="AE62" s="61">
        <f t="shared" si="12"/>
        <v>0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49">
        <f t="shared" si="13"/>
        <v>0</v>
      </c>
    </row>
    <row r="63" spans="1:57" ht="15" hidden="1" customHeight="1" x14ac:dyDescent="0.2">
      <c r="A63" s="36">
        <v>52</v>
      </c>
      <c r="B63" s="59"/>
      <c r="C63" s="38"/>
      <c r="D63" s="38" t="e">
        <f>VLOOKUP(C63,Planilha1!$J$2:$L$206,3,)</f>
        <v>#N/A</v>
      </c>
      <c r="E63" s="39"/>
      <c r="F63" s="40"/>
      <c r="G63" s="49"/>
      <c r="H63" s="60">
        <f t="shared" si="7"/>
        <v>0</v>
      </c>
      <c r="I63" s="49">
        <f t="shared" si="8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49">
        <f t="shared" si="9"/>
        <v>0</v>
      </c>
      <c r="V63" s="29">
        <f t="shared" si="10"/>
        <v>0</v>
      </c>
      <c r="W63" s="29">
        <f t="shared" si="11"/>
        <v>0</v>
      </c>
      <c r="X63" s="61">
        <f t="shared" si="14"/>
        <v>0</v>
      </c>
      <c r="Y63" s="61"/>
      <c r="Z63" s="61"/>
      <c r="AA63" s="61"/>
      <c r="AB63" s="61"/>
      <c r="AC63" s="61"/>
      <c r="AD63" s="61"/>
      <c r="AE63" s="49">
        <f t="shared" si="12"/>
        <v>0</v>
      </c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49">
        <f t="shared" si="13"/>
        <v>0</v>
      </c>
    </row>
    <row r="64" spans="1:57" ht="15" hidden="1" customHeight="1" x14ac:dyDescent="0.2">
      <c r="A64" s="36">
        <v>53</v>
      </c>
      <c r="B64" s="59"/>
      <c r="C64" s="38"/>
      <c r="D64" s="38" t="e">
        <f>VLOOKUP(C64,Planilha1!$J$2:$L$206,3,)</f>
        <v>#N/A</v>
      </c>
      <c r="E64" s="39"/>
      <c r="F64" s="40"/>
      <c r="G64" s="49"/>
      <c r="H64" s="60">
        <f t="shared" si="7"/>
        <v>0</v>
      </c>
      <c r="I64" s="49">
        <f t="shared" si="8"/>
        <v>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49">
        <f t="shared" si="9"/>
        <v>0</v>
      </c>
      <c r="V64" s="29">
        <f t="shared" si="10"/>
        <v>0</v>
      </c>
      <c r="W64" s="29">
        <f t="shared" si="11"/>
        <v>0</v>
      </c>
      <c r="X64" s="61">
        <f t="shared" si="14"/>
        <v>0</v>
      </c>
      <c r="Y64" s="61"/>
      <c r="Z64" s="61"/>
      <c r="AA64" s="61"/>
      <c r="AB64" s="61"/>
      <c r="AC64" s="61"/>
      <c r="AD64" s="61"/>
      <c r="AE64" s="61">
        <f t="shared" si="12"/>
        <v>0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49">
        <f t="shared" si="13"/>
        <v>0</v>
      </c>
    </row>
    <row r="65" spans="1:57" ht="15" hidden="1" customHeight="1" x14ac:dyDescent="0.2">
      <c r="A65" s="36">
        <v>54</v>
      </c>
      <c r="B65" s="59"/>
      <c r="C65" s="38"/>
      <c r="D65" s="38" t="e">
        <f>VLOOKUP(C65,Planilha1!$J$2:$L$206,3,)</f>
        <v>#N/A</v>
      </c>
      <c r="E65" s="39"/>
      <c r="F65" s="40"/>
      <c r="G65" s="49"/>
      <c r="H65" s="60">
        <f t="shared" si="7"/>
        <v>0</v>
      </c>
      <c r="I65" s="49">
        <f t="shared" si="8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49">
        <f t="shared" si="9"/>
        <v>0</v>
      </c>
      <c r="V65" s="29">
        <f t="shared" si="10"/>
        <v>0</v>
      </c>
      <c r="W65" s="29">
        <f t="shared" si="11"/>
        <v>0</v>
      </c>
      <c r="X65" s="61">
        <f t="shared" si="14"/>
        <v>0</v>
      </c>
      <c r="Y65" s="61"/>
      <c r="Z65" s="61"/>
      <c r="AA65" s="61"/>
      <c r="AB65" s="61"/>
      <c r="AC65" s="61"/>
      <c r="AD65" s="61"/>
      <c r="AE65" s="49">
        <f t="shared" si="12"/>
        <v>0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49">
        <f t="shared" si="13"/>
        <v>0</v>
      </c>
    </row>
    <row r="66" spans="1:57" ht="15" hidden="1" customHeight="1" x14ac:dyDescent="0.2">
      <c r="A66" s="36">
        <v>55</v>
      </c>
      <c r="B66" s="59"/>
      <c r="C66" s="38"/>
      <c r="D66" s="38" t="e">
        <f>VLOOKUP(C66,Planilha1!$J$2:$L$206,3,)</f>
        <v>#N/A</v>
      </c>
      <c r="E66" s="39"/>
      <c r="F66" s="40"/>
      <c r="G66" s="49"/>
      <c r="H66" s="60">
        <f t="shared" si="7"/>
        <v>0</v>
      </c>
      <c r="I66" s="49">
        <f t="shared" si="8"/>
        <v>0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49">
        <f t="shared" si="9"/>
        <v>0</v>
      </c>
      <c r="V66" s="29">
        <f t="shared" si="10"/>
        <v>0</v>
      </c>
      <c r="W66" s="29">
        <f t="shared" si="11"/>
        <v>0</v>
      </c>
      <c r="X66" s="61">
        <f t="shared" si="14"/>
        <v>0</v>
      </c>
      <c r="Y66" s="61"/>
      <c r="Z66" s="61"/>
      <c r="AA66" s="61"/>
      <c r="AB66" s="61"/>
      <c r="AC66" s="61"/>
      <c r="AD66" s="61"/>
      <c r="AE66" s="61">
        <f t="shared" si="12"/>
        <v>0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49">
        <f t="shared" si="13"/>
        <v>0</v>
      </c>
    </row>
    <row r="67" spans="1:57" ht="15" hidden="1" customHeight="1" x14ac:dyDescent="0.2">
      <c r="A67" s="36">
        <v>56</v>
      </c>
      <c r="B67" s="59"/>
      <c r="C67" s="38"/>
      <c r="D67" s="38" t="e">
        <f>VLOOKUP(C67,Planilha1!$J$2:$L$206,3,)</f>
        <v>#N/A</v>
      </c>
      <c r="E67" s="39"/>
      <c r="F67" s="40"/>
      <c r="G67" s="49"/>
      <c r="H67" s="60">
        <f t="shared" si="7"/>
        <v>0</v>
      </c>
      <c r="I67" s="49">
        <f t="shared" si="8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49">
        <f t="shared" si="9"/>
        <v>0</v>
      </c>
      <c r="V67" s="29">
        <f t="shared" si="10"/>
        <v>0</v>
      </c>
      <c r="W67" s="29">
        <f t="shared" si="11"/>
        <v>0</v>
      </c>
      <c r="X67" s="61">
        <f t="shared" si="14"/>
        <v>0</v>
      </c>
      <c r="Y67" s="61"/>
      <c r="Z67" s="61"/>
      <c r="AA67" s="61"/>
      <c r="AB67" s="61"/>
      <c r="AC67" s="61"/>
      <c r="AD67" s="61"/>
      <c r="AE67" s="49">
        <f t="shared" si="12"/>
        <v>0</v>
      </c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49">
        <f t="shared" si="13"/>
        <v>0</v>
      </c>
    </row>
    <row r="68" spans="1:57" ht="15" hidden="1" customHeight="1" x14ac:dyDescent="0.2">
      <c r="A68" s="36">
        <v>57</v>
      </c>
      <c r="B68" s="59"/>
      <c r="C68" s="38"/>
      <c r="D68" s="38" t="e">
        <f>VLOOKUP(C68,Planilha1!$J$2:$L$206,3,)</f>
        <v>#N/A</v>
      </c>
      <c r="E68" s="39"/>
      <c r="F68" s="40"/>
      <c r="G68" s="49"/>
      <c r="H68" s="60">
        <f t="shared" si="7"/>
        <v>0</v>
      </c>
      <c r="I68" s="49">
        <f t="shared" si="8"/>
        <v>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49">
        <f t="shared" si="9"/>
        <v>0</v>
      </c>
      <c r="V68" s="29">
        <f t="shared" si="10"/>
        <v>0</v>
      </c>
      <c r="W68" s="29">
        <f t="shared" si="11"/>
        <v>0</v>
      </c>
      <c r="X68" s="61">
        <f t="shared" si="14"/>
        <v>0</v>
      </c>
      <c r="Y68" s="61"/>
      <c r="Z68" s="61"/>
      <c r="AA68" s="61"/>
      <c r="AB68" s="61"/>
      <c r="AC68" s="61"/>
      <c r="AD68" s="61"/>
      <c r="AE68" s="61">
        <f t="shared" si="12"/>
        <v>0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49">
        <f t="shared" si="13"/>
        <v>0</v>
      </c>
    </row>
    <row r="69" spans="1:57" ht="15" hidden="1" customHeight="1" x14ac:dyDescent="0.2">
      <c r="A69" s="36">
        <v>58</v>
      </c>
      <c r="B69" s="59"/>
      <c r="C69" s="38"/>
      <c r="D69" s="38" t="e">
        <f>VLOOKUP(C69,Planilha1!$J$2:$L$206,3,)</f>
        <v>#N/A</v>
      </c>
      <c r="E69" s="39"/>
      <c r="F69" s="40"/>
      <c r="G69" s="49"/>
      <c r="H69" s="60">
        <f t="shared" si="7"/>
        <v>0</v>
      </c>
      <c r="I69" s="49">
        <f t="shared" si="8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49">
        <f t="shared" si="9"/>
        <v>0</v>
      </c>
      <c r="V69" s="29">
        <f t="shared" si="10"/>
        <v>0</v>
      </c>
      <c r="W69" s="29">
        <f t="shared" si="11"/>
        <v>0</v>
      </c>
      <c r="X69" s="61">
        <f t="shared" si="14"/>
        <v>0</v>
      </c>
      <c r="Y69" s="61"/>
      <c r="Z69" s="61"/>
      <c r="AA69" s="61"/>
      <c r="AB69" s="61"/>
      <c r="AC69" s="61"/>
      <c r="AD69" s="61"/>
      <c r="AE69" s="49">
        <f t="shared" si="12"/>
        <v>0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49">
        <f t="shared" si="13"/>
        <v>0</v>
      </c>
    </row>
    <row r="70" spans="1:57" ht="15" hidden="1" customHeight="1" x14ac:dyDescent="0.2">
      <c r="A70" s="36">
        <v>59</v>
      </c>
      <c r="B70" s="59"/>
      <c r="C70" s="38"/>
      <c r="D70" s="38" t="e">
        <f>VLOOKUP(C70,Planilha1!$J$2:$L$206,3,)</f>
        <v>#N/A</v>
      </c>
      <c r="E70" s="39"/>
      <c r="F70" s="40"/>
      <c r="G70" s="49"/>
      <c r="H70" s="60">
        <f t="shared" si="7"/>
        <v>0</v>
      </c>
      <c r="I70" s="49">
        <f t="shared" si="8"/>
        <v>0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49">
        <f t="shared" si="9"/>
        <v>0</v>
      </c>
      <c r="V70" s="29">
        <f t="shared" si="10"/>
        <v>0</v>
      </c>
      <c r="W70" s="29">
        <f t="shared" si="11"/>
        <v>0</v>
      </c>
      <c r="X70" s="61">
        <f t="shared" si="14"/>
        <v>0</v>
      </c>
      <c r="Y70" s="61"/>
      <c r="Z70" s="61"/>
      <c r="AA70" s="61"/>
      <c r="AB70" s="61"/>
      <c r="AC70" s="61"/>
      <c r="AD70" s="61"/>
      <c r="AE70" s="61">
        <f t="shared" si="12"/>
        <v>0</v>
      </c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49">
        <f t="shared" si="13"/>
        <v>0</v>
      </c>
    </row>
    <row r="71" spans="1:57" ht="15" hidden="1" customHeight="1" x14ac:dyDescent="0.2">
      <c r="A71" s="36">
        <v>60</v>
      </c>
      <c r="B71" s="59"/>
      <c r="C71" s="38"/>
      <c r="D71" s="38" t="e">
        <f>VLOOKUP(C71,Planilha1!$J$2:$L$206,3,)</f>
        <v>#N/A</v>
      </c>
      <c r="E71" s="39"/>
      <c r="F71" s="40"/>
      <c r="G71" s="49"/>
      <c r="H71" s="60">
        <f t="shared" si="7"/>
        <v>0</v>
      </c>
      <c r="I71" s="49">
        <f t="shared" si="8"/>
        <v>0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49">
        <f t="shared" si="9"/>
        <v>0</v>
      </c>
      <c r="V71" s="29">
        <f t="shared" si="10"/>
        <v>0</v>
      </c>
      <c r="W71" s="29">
        <f t="shared" si="11"/>
        <v>0</v>
      </c>
      <c r="X71" s="61">
        <f t="shared" si="14"/>
        <v>0</v>
      </c>
      <c r="Y71" s="61"/>
      <c r="Z71" s="61"/>
      <c r="AA71" s="61"/>
      <c r="AB71" s="61"/>
      <c r="AC71" s="61"/>
      <c r="AD71" s="61"/>
      <c r="AE71" s="49">
        <f t="shared" si="12"/>
        <v>0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49">
        <f t="shared" si="13"/>
        <v>0</v>
      </c>
    </row>
    <row r="72" spans="1:57" ht="15" hidden="1" customHeight="1" x14ac:dyDescent="0.2">
      <c r="A72" s="36">
        <v>61</v>
      </c>
      <c r="B72" s="59"/>
      <c r="C72" s="38"/>
      <c r="D72" s="38" t="e">
        <f>VLOOKUP(C72,Planilha1!$J$2:$L$206,3,)</f>
        <v>#N/A</v>
      </c>
      <c r="E72" s="39"/>
      <c r="F72" s="40"/>
      <c r="G72" s="49"/>
      <c r="H72" s="60">
        <f t="shared" si="7"/>
        <v>0</v>
      </c>
      <c r="I72" s="49">
        <f t="shared" si="8"/>
        <v>0</v>
      </c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49">
        <f t="shared" si="9"/>
        <v>0</v>
      </c>
      <c r="V72" s="29">
        <f t="shared" si="10"/>
        <v>0</v>
      </c>
      <c r="W72" s="29">
        <f t="shared" si="11"/>
        <v>0</v>
      </c>
      <c r="X72" s="61">
        <f t="shared" si="14"/>
        <v>0</v>
      </c>
      <c r="Y72" s="61"/>
      <c r="Z72" s="61"/>
      <c r="AA72" s="61"/>
      <c r="AB72" s="61"/>
      <c r="AC72" s="61"/>
      <c r="AD72" s="61"/>
      <c r="AE72" s="61">
        <f t="shared" si="12"/>
        <v>0</v>
      </c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49">
        <f t="shared" si="13"/>
        <v>0</v>
      </c>
    </row>
    <row r="73" spans="1:57" ht="15" hidden="1" customHeight="1" x14ac:dyDescent="0.2">
      <c r="A73" s="36">
        <v>62</v>
      </c>
      <c r="B73" s="59"/>
      <c r="C73" s="38"/>
      <c r="D73" s="38" t="e">
        <f>VLOOKUP(C73,Planilha1!$J$2:$L$206,3,)</f>
        <v>#N/A</v>
      </c>
      <c r="E73" s="39"/>
      <c r="F73" s="40"/>
      <c r="G73" s="49"/>
      <c r="H73" s="60">
        <f t="shared" si="7"/>
        <v>0</v>
      </c>
      <c r="I73" s="49">
        <f t="shared" si="8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49">
        <f t="shared" si="9"/>
        <v>0</v>
      </c>
      <c r="V73" s="29">
        <f t="shared" si="10"/>
        <v>0</v>
      </c>
      <c r="W73" s="29">
        <f t="shared" si="11"/>
        <v>0</v>
      </c>
      <c r="X73" s="61">
        <f t="shared" si="14"/>
        <v>0</v>
      </c>
      <c r="Y73" s="61"/>
      <c r="Z73" s="61"/>
      <c r="AA73" s="61"/>
      <c r="AB73" s="61"/>
      <c r="AC73" s="61"/>
      <c r="AD73" s="61"/>
      <c r="AE73" s="49">
        <f t="shared" si="12"/>
        <v>0</v>
      </c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49">
        <f t="shared" si="13"/>
        <v>0</v>
      </c>
    </row>
    <row r="74" spans="1:57" ht="15" hidden="1" customHeight="1" x14ac:dyDescent="0.2">
      <c r="A74" s="36">
        <v>63</v>
      </c>
      <c r="B74" s="59"/>
      <c r="C74" s="38"/>
      <c r="D74" s="38" t="e">
        <f>VLOOKUP(C74,Planilha1!$J$2:$L$206,3,)</f>
        <v>#N/A</v>
      </c>
      <c r="E74" s="39"/>
      <c r="F74" s="40"/>
      <c r="G74" s="49"/>
      <c r="H74" s="60">
        <f t="shared" si="7"/>
        <v>0</v>
      </c>
      <c r="I74" s="49">
        <f t="shared" si="8"/>
        <v>0</v>
      </c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49">
        <f t="shared" si="9"/>
        <v>0</v>
      </c>
      <c r="V74" s="29">
        <f t="shared" si="10"/>
        <v>0</v>
      </c>
      <c r="W74" s="29">
        <f t="shared" si="11"/>
        <v>0</v>
      </c>
      <c r="X74" s="61">
        <f t="shared" si="14"/>
        <v>0</v>
      </c>
      <c r="Y74" s="61"/>
      <c r="Z74" s="61"/>
      <c r="AA74" s="61"/>
      <c r="AB74" s="61"/>
      <c r="AC74" s="61"/>
      <c r="AD74" s="61"/>
      <c r="AE74" s="61">
        <f t="shared" si="12"/>
        <v>0</v>
      </c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49">
        <f t="shared" si="13"/>
        <v>0</v>
      </c>
    </row>
    <row r="75" spans="1:57" ht="15" hidden="1" customHeight="1" x14ac:dyDescent="0.2">
      <c r="A75" s="36">
        <v>64</v>
      </c>
      <c r="B75" s="59"/>
      <c r="C75" s="38"/>
      <c r="D75" s="38" t="e">
        <f>VLOOKUP(C75,Planilha1!$J$2:$L$206,3,)</f>
        <v>#N/A</v>
      </c>
      <c r="E75" s="39"/>
      <c r="F75" s="40"/>
      <c r="G75" s="49"/>
      <c r="H75" s="60">
        <f t="shared" si="7"/>
        <v>0</v>
      </c>
      <c r="I75" s="49">
        <f t="shared" si="8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49">
        <f t="shared" si="9"/>
        <v>0</v>
      </c>
      <c r="V75" s="29">
        <f t="shared" si="10"/>
        <v>0</v>
      </c>
      <c r="W75" s="29">
        <f t="shared" si="11"/>
        <v>0</v>
      </c>
      <c r="X75" s="61">
        <f t="shared" si="14"/>
        <v>0</v>
      </c>
      <c r="Y75" s="61"/>
      <c r="Z75" s="61"/>
      <c r="AA75" s="61"/>
      <c r="AB75" s="61"/>
      <c r="AC75" s="61"/>
      <c r="AD75" s="61"/>
      <c r="AE75" s="49">
        <f t="shared" si="12"/>
        <v>0</v>
      </c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49">
        <f t="shared" si="13"/>
        <v>0</v>
      </c>
    </row>
    <row r="76" spans="1:57" ht="15" hidden="1" customHeight="1" x14ac:dyDescent="0.2">
      <c r="A76" s="36">
        <v>65</v>
      </c>
      <c r="B76" s="59"/>
      <c r="C76" s="38"/>
      <c r="D76" s="38" t="e">
        <f>VLOOKUP(C76,Planilha1!$J$2:$L$206,3,)</f>
        <v>#N/A</v>
      </c>
      <c r="E76" s="39"/>
      <c r="F76" s="40"/>
      <c r="G76" s="49"/>
      <c r="H76" s="60">
        <f t="shared" si="7"/>
        <v>0</v>
      </c>
      <c r="I76" s="49">
        <f t="shared" si="8"/>
        <v>0</v>
      </c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49">
        <f t="shared" si="9"/>
        <v>0</v>
      </c>
      <c r="V76" s="29">
        <f t="shared" si="10"/>
        <v>0</v>
      </c>
      <c r="W76" s="29">
        <f t="shared" si="11"/>
        <v>0</v>
      </c>
      <c r="X76" s="61">
        <f t="shared" si="14"/>
        <v>0</v>
      </c>
      <c r="Y76" s="61"/>
      <c r="Z76" s="61"/>
      <c r="AA76" s="61"/>
      <c r="AB76" s="61"/>
      <c r="AC76" s="61"/>
      <c r="AD76" s="61"/>
      <c r="AE76" s="61">
        <f t="shared" si="12"/>
        <v>0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49">
        <f t="shared" si="13"/>
        <v>0</v>
      </c>
    </row>
    <row r="77" spans="1:57" ht="15" hidden="1" customHeight="1" x14ac:dyDescent="0.2">
      <c r="A77" s="36">
        <v>66</v>
      </c>
      <c r="B77" s="59"/>
      <c r="C77" s="38"/>
      <c r="D77" s="38" t="e">
        <f>VLOOKUP(C77,Planilha1!$J$2:$L$206,3,)</f>
        <v>#N/A</v>
      </c>
      <c r="E77" s="39"/>
      <c r="F77" s="40"/>
      <c r="G77" s="49"/>
      <c r="H77" s="60">
        <f t="shared" si="7"/>
        <v>0</v>
      </c>
      <c r="I77" s="49">
        <f t="shared" si="8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49">
        <f t="shared" si="9"/>
        <v>0</v>
      </c>
      <c r="V77" s="29">
        <f t="shared" si="10"/>
        <v>0</v>
      </c>
      <c r="W77" s="29">
        <f t="shared" si="11"/>
        <v>0</v>
      </c>
      <c r="X77" s="61">
        <f t="shared" si="14"/>
        <v>0</v>
      </c>
      <c r="Y77" s="61"/>
      <c r="Z77" s="61"/>
      <c r="AA77" s="61"/>
      <c r="AB77" s="61"/>
      <c r="AC77" s="61"/>
      <c r="AD77" s="61"/>
      <c r="AE77" s="49">
        <f t="shared" si="12"/>
        <v>0</v>
      </c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49">
        <f t="shared" si="13"/>
        <v>0</v>
      </c>
    </row>
    <row r="78" spans="1:57" ht="15" hidden="1" customHeight="1" x14ac:dyDescent="0.2">
      <c r="A78" s="36">
        <v>67</v>
      </c>
      <c r="B78" s="59"/>
      <c r="C78" s="38"/>
      <c r="D78" s="38" t="e">
        <f>VLOOKUP(C78,Planilha1!$J$2:$L$206,3,)</f>
        <v>#N/A</v>
      </c>
      <c r="E78" s="39"/>
      <c r="F78" s="40"/>
      <c r="G78" s="49"/>
      <c r="H78" s="60">
        <f t="shared" ref="H78:H118" si="15">I78+U78</f>
        <v>0</v>
      </c>
      <c r="I78" s="49">
        <f t="shared" ref="I78:I118" si="16">SUM(J78:T78)</f>
        <v>0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49">
        <f t="shared" ref="U78:U118" si="17">X78+AE78</f>
        <v>0</v>
      </c>
      <c r="V78" s="29">
        <f t="shared" ref="V78:V118" si="18">IF(H78,U78/H78,0)</f>
        <v>0</v>
      </c>
      <c r="W78" s="29">
        <f t="shared" ref="W78:W118" si="19">IF(H78,I78/H78,0)</f>
        <v>0</v>
      </c>
      <c r="X78" s="61">
        <f t="shared" si="14"/>
        <v>0</v>
      </c>
      <c r="Y78" s="61"/>
      <c r="Z78" s="61"/>
      <c r="AA78" s="61"/>
      <c r="AB78" s="61"/>
      <c r="AC78" s="61"/>
      <c r="AD78" s="61"/>
      <c r="AE78" s="61">
        <f t="shared" ref="AE78:AE118" si="20">SUM(AF78:BD78)</f>
        <v>0</v>
      </c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49">
        <f t="shared" ref="BE78:BE118" si="21">I78+AE78</f>
        <v>0</v>
      </c>
    </row>
    <row r="79" spans="1:57" ht="15" hidden="1" customHeight="1" x14ac:dyDescent="0.2">
      <c r="A79" s="36">
        <v>68</v>
      </c>
      <c r="B79" s="59"/>
      <c r="C79" s="38"/>
      <c r="D79" s="38" t="e">
        <f>VLOOKUP(C79,Planilha1!$J$2:$L$206,3,)</f>
        <v>#N/A</v>
      </c>
      <c r="E79" s="39"/>
      <c r="F79" s="40"/>
      <c r="G79" s="49"/>
      <c r="H79" s="60">
        <f t="shared" si="15"/>
        <v>0</v>
      </c>
      <c r="I79" s="49">
        <f t="shared" si="16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49">
        <f t="shared" si="17"/>
        <v>0</v>
      </c>
      <c r="V79" s="29">
        <f t="shared" si="18"/>
        <v>0</v>
      </c>
      <c r="W79" s="29">
        <f t="shared" si="19"/>
        <v>0</v>
      </c>
      <c r="X79" s="61">
        <f t="shared" ref="X79:X118" si="22">SUM(Y79:AD79)</f>
        <v>0</v>
      </c>
      <c r="Y79" s="61"/>
      <c r="Z79" s="61"/>
      <c r="AA79" s="61"/>
      <c r="AB79" s="61"/>
      <c r="AC79" s="61"/>
      <c r="AD79" s="61"/>
      <c r="AE79" s="49">
        <f t="shared" si="20"/>
        <v>0</v>
      </c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49">
        <f t="shared" si="21"/>
        <v>0</v>
      </c>
    </row>
    <row r="80" spans="1:57" ht="15" hidden="1" customHeight="1" x14ac:dyDescent="0.2">
      <c r="A80" s="36">
        <v>69</v>
      </c>
      <c r="B80" s="59"/>
      <c r="C80" s="38"/>
      <c r="D80" s="38" t="e">
        <f>VLOOKUP(C80,Planilha1!$J$2:$L$206,3,)</f>
        <v>#N/A</v>
      </c>
      <c r="E80" s="39"/>
      <c r="F80" s="40"/>
      <c r="G80" s="49"/>
      <c r="H80" s="60">
        <f t="shared" si="15"/>
        <v>0</v>
      </c>
      <c r="I80" s="49">
        <f t="shared" si="16"/>
        <v>0</v>
      </c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49">
        <f t="shared" si="17"/>
        <v>0</v>
      </c>
      <c r="V80" s="29">
        <f t="shared" si="18"/>
        <v>0</v>
      </c>
      <c r="W80" s="29">
        <f t="shared" si="19"/>
        <v>0</v>
      </c>
      <c r="X80" s="61">
        <f t="shared" si="22"/>
        <v>0</v>
      </c>
      <c r="Y80" s="61"/>
      <c r="Z80" s="61"/>
      <c r="AA80" s="61"/>
      <c r="AB80" s="61"/>
      <c r="AC80" s="61"/>
      <c r="AD80" s="61"/>
      <c r="AE80" s="61">
        <f t="shared" si="20"/>
        <v>0</v>
      </c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49">
        <f t="shared" si="21"/>
        <v>0</v>
      </c>
    </row>
    <row r="81" spans="1:57" ht="15" hidden="1" customHeight="1" x14ac:dyDescent="0.2">
      <c r="A81" s="36">
        <v>70</v>
      </c>
      <c r="B81" s="59"/>
      <c r="C81" s="38"/>
      <c r="D81" s="38" t="e">
        <f>VLOOKUP(C81,Planilha1!$J$2:$L$206,3,)</f>
        <v>#N/A</v>
      </c>
      <c r="E81" s="39"/>
      <c r="F81" s="40"/>
      <c r="G81" s="49"/>
      <c r="H81" s="60">
        <f t="shared" si="15"/>
        <v>0</v>
      </c>
      <c r="I81" s="49">
        <f t="shared" si="16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49">
        <f t="shared" si="17"/>
        <v>0</v>
      </c>
      <c r="V81" s="29">
        <f t="shared" si="18"/>
        <v>0</v>
      </c>
      <c r="W81" s="29">
        <f t="shared" si="19"/>
        <v>0</v>
      </c>
      <c r="X81" s="61">
        <f t="shared" si="22"/>
        <v>0</v>
      </c>
      <c r="Y81" s="61"/>
      <c r="Z81" s="61"/>
      <c r="AA81" s="61"/>
      <c r="AB81" s="61"/>
      <c r="AC81" s="61"/>
      <c r="AD81" s="61"/>
      <c r="AE81" s="49">
        <f t="shared" si="20"/>
        <v>0</v>
      </c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49">
        <f t="shared" si="21"/>
        <v>0</v>
      </c>
    </row>
    <row r="82" spans="1:57" ht="15" hidden="1" customHeight="1" x14ac:dyDescent="0.2">
      <c r="A82" s="36">
        <v>71</v>
      </c>
      <c r="B82" s="59"/>
      <c r="C82" s="38"/>
      <c r="D82" s="38" t="e">
        <f>VLOOKUP(C82,Planilha1!$J$2:$L$206,3,)</f>
        <v>#N/A</v>
      </c>
      <c r="E82" s="39"/>
      <c r="F82" s="40"/>
      <c r="G82" s="49"/>
      <c r="H82" s="60">
        <f t="shared" si="15"/>
        <v>0</v>
      </c>
      <c r="I82" s="49">
        <f t="shared" si="16"/>
        <v>0</v>
      </c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49">
        <f t="shared" si="17"/>
        <v>0</v>
      </c>
      <c r="V82" s="29">
        <f t="shared" si="18"/>
        <v>0</v>
      </c>
      <c r="W82" s="29">
        <f t="shared" si="19"/>
        <v>0</v>
      </c>
      <c r="X82" s="61">
        <f t="shared" si="22"/>
        <v>0</v>
      </c>
      <c r="Y82" s="61"/>
      <c r="Z82" s="61"/>
      <c r="AA82" s="61"/>
      <c r="AB82" s="61"/>
      <c r="AC82" s="61"/>
      <c r="AD82" s="61"/>
      <c r="AE82" s="61">
        <f t="shared" si="20"/>
        <v>0</v>
      </c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49">
        <f t="shared" si="21"/>
        <v>0</v>
      </c>
    </row>
    <row r="83" spans="1:57" ht="15" hidden="1" customHeight="1" x14ac:dyDescent="0.2">
      <c r="A83" s="36">
        <v>72</v>
      </c>
      <c r="B83" s="59"/>
      <c r="C83" s="38"/>
      <c r="D83" s="38" t="e">
        <f>VLOOKUP(C83,Planilha1!$J$2:$L$206,3,)</f>
        <v>#N/A</v>
      </c>
      <c r="E83" s="39"/>
      <c r="F83" s="40"/>
      <c r="G83" s="49"/>
      <c r="H83" s="60">
        <f t="shared" si="15"/>
        <v>0</v>
      </c>
      <c r="I83" s="49">
        <f t="shared" si="16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49">
        <f t="shared" si="17"/>
        <v>0</v>
      </c>
      <c r="V83" s="29">
        <f t="shared" si="18"/>
        <v>0</v>
      </c>
      <c r="W83" s="29">
        <f t="shared" si="19"/>
        <v>0</v>
      </c>
      <c r="X83" s="61">
        <f t="shared" si="22"/>
        <v>0</v>
      </c>
      <c r="Y83" s="61"/>
      <c r="Z83" s="61"/>
      <c r="AA83" s="61"/>
      <c r="AB83" s="61"/>
      <c r="AC83" s="61"/>
      <c r="AD83" s="61"/>
      <c r="AE83" s="49">
        <f t="shared" si="20"/>
        <v>0</v>
      </c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49">
        <f t="shared" si="21"/>
        <v>0</v>
      </c>
    </row>
    <row r="84" spans="1:57" ht="15" hidden="1" customHeight="1" x14ac:dyDescent="0.2">
      <c r="A84" s="36">
        <v>73</v>
      </c>
      <c r="B84" s="59"/>
      <c r="C84" s="38"/>
      <c r="D84" s="38" t="e">
        <f>VLOOKUP(C84,Planilha1!$J$2:$L$206,3,)</f>
        <v>#N/A</v>
      </c>
      <c r="E84" s="39"/>
      <c r="F84" s="40"/>
      <c r="G84" s="49"/>
      <c r="H84" s="60">
        <f t="shared" si="15"/>
        <v>0</v>
      </c>
      <c r="I84" s="49">
        <f t="shared" si="16"/>
        <v>0</v>
      </c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49">
        <f t="shared" si="17"/>
        <v>0</v>
      </c>
      <c r="V84" s="29">
        <f t="shared" si="18"/>
        <v>0</v>
      </c>
      <c r="W84" s="29">
        <f t="shared" si="19"/>
        <v>0</v>
      </c>
      <c r="X84" s="61">
        <f t="shared" si="22"/>
        <v>0</v>
      </c>
      <c r="Y84" s="61"/>
      <c r="Z84" s="61"/>
      <c r="AA84" s="61"/>
      <c r="AB84" s="61"/>
      <c r="AC84" s="61"/>
      <c r="AD84" s="61"/>
      <c r="AE84" s="61">
        <f t="shared" si="20"/>
        <v>0</v>
      </c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49">
        <f t="shared" si="21"/>
        <v>0</v>
      </c>
    </row>
    <row r="85" spans="1:57" ht="15" hidden="1" customHeight="1" x14ac:dyDescent="0.2">
      <c r="A85" s="36">
        <v>74</v>
      </c>
      <c r="B85" s="59"/>
      <c r="C85" s="38"/>
      <c r="D85" s="38" t="e">
        <f>VLOOKUP(C85,Planilha1!$J$2:$L$206,3,)</f>
        <v>#N/A</v>
      </c>
      <c r="E85" s="39"/>
      <c r="F85" s="40"/>
      <c r="G85" s="49"/>
      <c r="H85" s="60">
        <f t="shared" si="15"/>
        <v>0</v>
      </c>
      <c r="I85" s="49">
        <f t="shared" si="16"/>
        <v>0</v>
      </c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49">
        <f t="shared" si="17"/>
        <v>0</v>
      </c>
      <c r="V85" s="29">
        <f t="shared" si="18"/>
        <v>0</v>
      </c>
      <c r="W85" s="29">
        <f t="shared" si="19"/>
        <v>0</v>
      </c>
      <c r="X85" s="61">
        <f t="shared" si="22"/>
        <v>0</v>
      </c>
      <c r="Y85" s="61"/>
      <c r="Z85" s="61"/>
      <c r="AA85" s="61"/>
      <c r="AB85" s="61"/>
      <c r="AC85" s="61"/>
      <c r="AD85" s="61"/>
      <c r="AE85" s="49">
        <f t="shared" si="20"/>
        <v>0</v>
      </c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49">
        <f t="shared" si="21"/>
        <v>0</v>
      </c>
    </row>
    <row r="86" spans="1:57" ht="15" hidden="1" customHeight="1" x14ac:dyDescent="0.2">
      <c r="A86" s="36">
        <v>75</v>
      </c>
      <c r="B86" s="59"/>
      <c r="C86" s="38"/>
      <c r="D86" s="38" t="e">
        <f>VLOOKUP(C86,Planilha1!$J$2:$L$206,3,)</f>
        <v>#N/A</v>
      </c>
      <c r="E86" s="39"/>
      <c r="F86" s="40"/>
      <c r="G86" s="49"/>
      <c r="H86" s="60">
        <f t="shared" si="15"/>
        <v>0</v>
      </c>
      <c r="I86" s="49">
        <f t="shared" si="16"/>
        <v>0</v>
      </c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49">
        <f t="shared" si="17"/>
        <v>0</v>
      </c>
      <c r="V86" s="29">
        <f t="shared" si="18"/>
        <v>0</v>
      </c>
      <c r="W86" s="29">
        <f t="shared" si="19"/>
        <v>0</v>
      </c>
      <c r="X86" s="61">
        <f t="shared" si="22"/>
        <v>0</v>
      </c>
      <c r="Y86" s="61"/>
      <c r="Z86" s="61"/>
      <c r="AA86" s="61"/>
      <c r="AB86" s="61"/>
      <c r="AC86" s="61"/>
      <c r="AD86" s="61"/>
      <c r="AE86" s="61">
        <f t="shared" si="20"/>
        <v>0</v>
      </c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49">
        <f t="shared" si="21"/>
        <v>0</v>
      </c>
    </row>
    <row r="87" spans="1:57" ht="15" hidden="1" customHeight="1" x14ac:dyDescent="0.2">
      <c r="A87" s="36">
        <v>76</v>
      </c>
      <c r="B87" s="59"/>
      <c r="C87" s="38"/>
      <c r="D87" s="38" t="e">
        <f>VLOOKUP(C87,Planilha1!$J$2:$L$206,3,)</f>
        <v>#N/A</v>
      </c>
      <c r="E87" s="39"/>
      <c r="F87" s="40"/>
      <c r="G87" s="49"/>
      <c r="H87" s="60">
        <f t="shared" si="15"/>
        <v>0</v>
      </c>
      <c r="I87" s="49">
        <f t="shared" si="16"/>
        <v>0</v>
      </c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49">
        <f t="shared" si="17"/>
        <v>0</v>
      </c>
      <c r="V87" s="29">
        <f t="shared" si="18"/>
        <v>0</v>
      </c>
      <c r="W87" s="29">
        <f t="shared" si="19"/>
        <v>0</v>
      </c>
      <c r="X87" s="61">
        <f t="shared" si="22"/>
        <v>0</v>
      </c>
      <c r="Y87" s="61"/>
      <c r="Z87" s="61"/>
      <c r="AA87" s="61"/>
      <c r="AB87" s="61"/>
      <c r="AC87" s="61"/>
      <c r="AD87" s="61"/>
      <c r="AE87" s="49">
        <f t="shared" si="20"/>
        <v>0</v>
      </c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49">
        <f t="shared" si="21"/>
        <v>0</v>
      </c>
    </row>
    <row r="88" spans="1:57" ht="15" hidden="1" customHeight="1" x14ac:dyDescent="0.2">
      <c r="A88" s="36">
        <v>77</v>
      </c>
      <c r="B88" s="59"/>
      <c r="C88" s="38"/>
      <c r="D88" s="38" t="e">
        <f>VLOOKUP(C88,Planilha1!$J$2:$L$206,3,)</f>
        <v>#N/A</v>
      </c>
      <c r="E88" s="39"/>
      <c r="F88" s="40"/>
      <c r="G88" s="49"/>
      <c r="H88" s="60">
        <f t="shared" si="15"/>
        <v>0</v>
      </c>
      <c r="I88" s="49">
        <f t="shared" si="16"/>
        <v>0</v>
      </c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49">
        <f t="shared" si="17"/>
        <v>0</v>
      </c>
      <c r="V88" s="29">
        <f t="shared" si="18"/>
        <v>0</v>
      </c>
      <c r="W88" s="29">
        <f t="shared" si="19"/>
        <v>0</v>
      </c>
      <c r="X88" s="61">
        <f t="shared" si="22"/>
        <v>0</v>
      </c>
      <c r="Y88" s="61"/>
      <c r="Z88" s="61"/>
      <c r="AA88" s="61"/>
      <c r="AB88" s="61"/>
      <c r="AC88" s="61"/>
      <c r="AD88" s="61"/>
      <c r="AE88" s="61">
        <f t="shared" si="20"/>
        <v>0</v>
      </c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49">
        <f t="shared" si="21"/>
        <v>0</v>
      </c>
    </row>
    <row r="89" spans="1:57" ht="15" hidden="1" customHeight="1" x14ac:dyDescent="0.2">
      <c r="A89" s="36">
        <v>78</v>
      </c>
      <c r="B89" s="59"/>
      <c r="C89" s="38"/>
      <c r="D89" s="38" t="e">
        <f>VLOOKUP(C89,Planilha1!$J$2:$L$206,3,)</f>
        <v>#N/A</v>
      </c>
      <c r="E89" s="39"/>
      <c r="F89" s="40"/>
      <c r="G89" s="49"/>
      <c r="H89" s="60">
        <f t="shared" si="15"/>
        <v>0</v>
      </c>
      <c r="I89" s="49">
        <f t="shared" si="16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49">
        <f t="shared" si="17"/>
        <v>0</v>
      </c>
      <c r="V89" s="29">
        <f t="shared" si="18"/>
        <v>0</v>
      </c>
      <c r="W89" s="29">
        <f t="shared" si="19"/>
        <v>0</v>
      </c>
      <c r="X89" s="61">
        <f t="shared" si="22"/>
        <v>0</v>
      </c>
      <c r="Y89" s="61"/>
      <c r="Z89" s="61"/>
      <c r="AA89" s="61"/>
      <c r="AB89" s="61"/>
      <c r="AC89" s="61"/>
      <c r="AD89" s="61"/>
      <c r="AE89" s="49">
        <f t="shared" si="20"/>
        <v>0</v>
      </c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49">
        <f t="shared" si="21"/>
        <v>0</v>
      </c>
    </row>
    <row r="90" spans="1:57" ht="15" hidden="1" customHeight="1" x14ac:dyDescent="0.2">
      <c r="A90" s="36">
        <v>79</v>
      </c>
      <c r="B90" s="59"/>
      <c r="C90" s="38"/>
      <c r="D90" s="38" t="e">
        <f>VLOOKUP(C90,Planilha1!$J$2:$L$206,3,)</f>
        <v>#N/A</v>
      </c>
      <c r="E90" s="39"/>
      <c r="F90" s="40"/>
      <c r="G90" s="49"/>
      <c r="H90" s="60">
        <f t="shared" si="15"/>
        <v>0</v>
      </c>
      <c r="I90" s="49">
        <f t="shared" si="16"/>
        <v>0</v>
      </c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49">
        <f t="shared" si="17"/>
        <v>0</v>
      </c>
      <c r="V90" s="29">
        <f t="shared" si="18"/>
        <v>0</v>
      </c>
      <c r="W90" s="29">
        <f t="shared" si="19"/>
        <v>0</v>
      </c>
      <c r="X90" s="61">
        <f t="shared" si="22"/>
        <v>0</v>
      </c>
      <c r="Y90" s="61"/>
      <c r="Z90" s="61"/>
      <c r="AA90" s="61"/>
      <c r="AB90" s="61"/>
      <c r="AC90" s="61"/>
      <c r="AD90" s="61"/>
      <c r="AE90" s="61">
        <f t="shared" si="20"/>
        <v>0</v>
      </c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49">
        <f t="shared" si="21"/>
        <v>0</v>
      </c>
    </row>
    <row r="91" spans="1:57" ht="15" hidden="1" customHeight="1" x14ac:dyDescent="0.2">
      <c r="A91" s="36">
        <v>80</v>
      </c>
      <c r="B91" s="59"/>
      <c r="C91" s="38"/>
      <c r="D91" s="38" t="e">
        <f>VLOOKUP(C91,Planilha1!$J$2:$L$206,3,)</f>
        <v>#N/A</v>
      </c>
      <c r="E91" s="39"/>
      <c r="F91" s="40"/>
      <c r="G91" s="49"/>
      <c r="H91" s="60">
        <f t="shared" si="15"/>
        <v>0</v>
      </c>
      <c r="I91" s="49">
        <f t="shared" si="16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49">
        <f t="shared" si="17"/>
        <v>0</v>
      </c>
      <c r="V91" s="29">
        <f t="shared" si="18"/>
        <v>0</v>
      </c>
      <c r="W91" s="29">
        <f t="shared" si="19"/>
        <v>0</v>
      </c>
      <c r="X91" s="61">
        <f t="shared" si="22"/>
        <v>0</v>
      </c>
      <c r="Y91" s="61"/>
      <c r="Z91" s="61"/>
      <c r="AA91" s="61"/>
      <c r="AB91" s="61"/>
      <c r="AC91" s="61"/>
      <c r="AD91" s="61"/>
      <c r="AE91" s="49">
        <f t="shared" si="20"/>
        <v>0</v>
      </c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49">
        <f t="shared" si="21"/>
        <v>0</v>
      </c>
    </row>
    <row r="92" spans="1:57" ht="15" hidden="1" customHeight="1" x14ac:dyDescent="0.2">
      <c r="A92" s="36">
        <v>81</v>
      </c>
      <c r="B92" s="59"/>
      <c r="C92" s="38"/>
      <c r="D92" s="38" t="e">
        <f>VLOOKUP(C92,Planilha1!$J$2:$L$206,3,)</f>
        <v>#N/A</v>
      </c>
      <c r="E92" s="39"/>
      <c r="F92" s="40"/>
      <c r="G92" s="49"/>
      <c r="H92" s="60">
        <f t="shared" si="15"/>
        <v>0</v>
      </c>
      <c r="I92" s="49">
        <f t="shared" si="16"/>
        <v>0</v>
      </c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49">
        <f t="shared" si="17"/>
        <v>0</v>
      </c>
      <c r="V92" s="29">
        <f t="shared" si="18"/>
        <v>0</v>
      </c>
      <c r="W92" s="29">
        <f t="shared" si="19"/>
        <v>0</v>
      </c>
      <c r="X92" s="61">
        <f t="shared" si="22"/>
        <v>0</v>
      </c>
      <c r="Y92" s="61"/>
      <c r="Z92" s="61"/>
      <c r="AA92" s="61"/>
      <c r="AB92" s="61"/>
      <c r="AC92" s="61"/>
      <c r="AD92" s="61"/>
      <c r="AE92" s="61">
        <f t="shared" si="20"/>
        <v>0</v>
      </c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49">
        <f t="shared" si="21"/>
        <v>0</v>
      </c>
    </row>
    <row r="93" spans="1:57" ht="15" hidden="1" customHeight="1" x14ac:dyDescent="0.2">
      <c r="A93" s="36">
        <v>82</v>
      </c>
      <c r="B93" s="59"/>
      <c r="C93" s="38"/>
      <c r="D93" s="38" t="e">
        <f>VLOOKUP(C93,Planilha1!$J$2:$L$206,3,)</f>
        <v>#N/A</v>
      </c>
      <c r="E93" s="39"/>
      <c r="F93" s="40"/>
      <c r="G93" s="49"/>
      <c r="H93" s="60">
        <f t="shared" si="15"/>
        <v>0</v>
      </c>
      <c r="I93" s="49">
        <f t="shared" si="16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49">
        <f t="shared" si="17"/>
        <v>0</v>
      </c>
      <c r="V93" s="29">
        <f t="shared" si="18"/>
        <v>0</v>
      </c>
      <c r="W93" s="29">
        <f t="shared" si="19"/>
        <v>0</v>
      </c>
      <c r="X93" s="61">
        <f t="shared" si="22"/>
        <v>0</v>
      </c>
      <c r="Y93" s="61"/>
      <c r="Z93" s="61"/>
      <c r="AA93" s="61"/>
      <c r="AB93" s="61"/>
      <c r="AC93" s="61"/>
      <c r="AD93" s="61"/>
      <c r="AE93" s="49">
        <f t="shared" si="20"/>
        <v>0</v>
      </c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49">
        <f t="shared" si="21"/>
        <v>0</v>
      </c>
    </row>
    <row r="94" spans="1:57" ht="15" hidden="1" customHeight="1" x14ac:dyDescent="0.2">
      <c r="A94" s="36">
        <v>83</v>
      </c>
      <c r="B94" s="59"/>
      <c r="C94" s="38"/>
      <c r="D94" s="38" t="e">
        <f>VLOOKUP(C94,Planilha1!$J$2:$L$206,3,)</f>
        <v>#N/A</v>
      </c>
      <c r="E94" s="39"/>
      <c r="F94" s="40"/>
      <c r="G94" s="49"/>
      <c r="H94" s="60">
        <f t="shared" si="15"/>
        <v>0</v>
      </c>
      <c r="I94" s="49">
        <f t="shared" si="16"/>
        <v>0</v>
      </c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49">
        <f t="shared" si="17"/>
        <v>0</v>
      </c>
      <c r="V94" s="29">
        <f t="shared" si="18"/>
        <v>0</v>
      </c>
      <c r="W94" s="29">
        <f t="shared" si="19"/>
        <v>0</v>
      </c>
      <c r="X94" s="61">
        <f t="shared" si="22"/>
        <v>0</v>
      </c>
      <c r="Y94" s="61"/>
      <c r="Z94" s="61"/>
      <c r="AA94" s="61"/>
      <c r="AB94" s="61"/>
      <c r="AC94" s="61"/>
      <c r="AD94" s="61"/>
      <c r="AE94" s="61">
        <f t="shared" si="20"/>
        <v>0</v>
      </c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49">
        <f t="shared" si="21"/>
        <v>0</v>
      </c>
    </row>
    <row r="95" spans="1:57" ht="15" hidden="1" customHeight="1" x14ac:dyDescent="0.2">
      <c r="A95" s="36">
        <v>84</v>
      </c>
      <c r="B95" s="59"/>
      <c r="C95" s="38"/>
      <c r="D95" s="38" t="e">
        <f>VLOOKUP(C95,Planilha1!$J$2:$L$206,3,)</f>
        <v>#N/A</v>
      </c>
      <c r="E95" s="39"/>
      <c r="F95" s="40"/>
      <c r="G95" s="49"/>
      <c r="H95" s="60">
        <f t="shared" si="15"/>
        <v>0</v>
      </c>
      <c r="I95" s="49">
        <f t="shared" si="16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49">
        <f t="shared" si="17"/>
        <v>0</v>
      </c>
      <c r="V95" s="29">
        <f t="shared" si="18"/>
        <v>0</v>
      </c>
      <c r="W95" s="29">
        <f t="shared" si="19"/>
        <v>0</v>
      </c>
      <c r="X95" s="61">
        <f t="shared" si="22"/>
        <v>0</v>
      </c>
      <c r="Y95" s="61"/>
      <c r="Z95" s="61"/>
      <c r="AA95" s="61"/>
      <c r="AB95" s="61"/>
      <c r="AC95" s="61"/>
      <c r="AD95" s="61"/>
      <c r="AE95" s="49">
        <f t="shared" si="20"/>
        <v>0</v>
      </c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49">
        <f t="shared" si="21"/>
        <v>0</v>
      </c>
    </row>
    <row r="96" spans="1:57" ht="15" hidden="1" customHeight="1" x14ac:dyDescent="0.2">
      <c r="A96" s="36">
        <v>85</v>
      </c>
      <c r="B96" s="59"/>
      <c r="C96" s="38"/>
      <c r="D96" s="38" t="e">
        <f>VLOOKUP(C96,Planilha1!$J$2:$L$206,3,)</f>
        <v>#N/A</v>
      </c>
      <c r="E96" s="39"/>
      <c r="F96" s="40"/>
      <c r="G96" s="49"/>
      <c r="H96" s="60">
        <f t="shared" si="15"/>
        <v>0</v>
      </c>
      <c r="I96" s="49">
        <f t="shared" si="16"/>
        <v>0</v>
      </c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49">
        <f t="shared" si="17"/>
        <v>0</v>
      </c>
      <c r="V96" s="29">
        <f t="shared" si="18"/>
        <v>0</v>
      </c>
      <c r="W96" s="29">
        <f t="shared" si="19"/>
        <v>0</v>
      </c>
      <c r="X96" s="61">
        <f t="shared" si="22"/>
        <v>0</v>
      </c>
      <c r="Y96" s="61"/>
      <c r="Z96" s="61"/>
      <c r="AA96" s="61"/>
      <c r="AB96" s="61"/>
      <c r="AC96" s="61"/>
      <c r="AD96" s="61"/>
      <c r="AE96" s="61">
        <f t="shared" si="20"/>
        <v>0</v>
      </c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49">
        <f t="shared" si="21"/>
        <v>0</v>
      </c>
    </row>
    <row r="97" spans="1:57" ht="15" hidden="1" customHeight="1" x14ac:dyDescent="0.2">
      <c r="A97" s="36">
        <v>86</v>
      </c>
      <c r="B97" s="59"/>
      <c r="C97" s="38"/>
      <c r="D97" s="38" t="e">
        <f>VLOOKUP(C97,Planilha1!$J$2:$L$206,3,)</f>
        <v>#N/A</v>
      </c>
      <c r="E97" s="39"/>
      <c r="F97" s="40"/>
      <c r="G97" s="49"/>
      <c r="H97" s="60">
        <f t="shared" si="15"/>
        <v>0</v>
      </c>
      <c r="I97" s="49">
        <f t="shared" si="16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49">
        <f t="shared" si="17"/>
        <v>0</v>
      </c>
      <c r="V97" s="29">
        <f t="shared" si="18"/>
        <v>0</v>
      </c>
      <c r="W97" s="29">
        <f t="shared" si="19"/>
        <v>0</v>
      </c>
      <c r="X97" s="61">
        <f t="shared" si="22"/>
        <v>0</v>
      </c>
      <c r="Y97" s="61"/>
      <c r="Z97" s="61"/>
      <c r="AA97" s="61"/>
      <c r="AB97" s="61"/>
      <c r="AC97" s="61"/>
      <c r="AD97" s="61"/>
      <c r="AE97" s="49">
        <f t="shared" si="20"/>
        <v>0</v>
      </c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49">
        <f t="shared" si="21"/>
        <v>0</v>
      </c>
    </row>
    <row r="98" spans="1:57" ht="15" hidden="1" customHeight="1" x14ac:dyDescent="0.2">
      <c r="A98" s="36">
        <v>87</v>
      </c>
      <c r="B98" s="59"/>
      <c r="C98" s="38"/>
      <c r="D98" s="38" t="e">
        <f>VLOOKUP(C98,Planilha1!$J$2:$L$206,3,)</f>
        <v>#N/A</v>
      </c>
      <c r="E98" s="39"/>
      <c r="F98" s="40"/>
      <c r="G98" s="49"/>
      <c r="H98" s="60">
        <f t="shared" si="15"/>
        <v>0</v>
      </c>
      <c r="I98" s="49">
        <f t="shared" si="16"/>
        <v>0</v>
      </c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49">
        <f t="shared" si="17"/>
        <v>0</v>
      </c>
      <c r="V98" s="29">
        <f t="shared" si="18"/>
        <v>0</v>
      </c>
      <c r="W98" s="29">
        <f t="shared" si="19"/>
        <v>0</v>
      </c>
      <c r="X98" s="61">
        <f t="shared" si="22"/>
        <v>0</v>
      </c>
      <c r="Y98" s="61"/>
      <c r="Z98" s="61"/>
      <c r="AA98" s="61"/>
      <c r="AB98" s="61"/>
      <c r="AC98" s="61"/>
      <c r="AD98" s="61"/>
      <c r="AE98" s="61">
        <f t="shared" si="20"/>
        <v>0</v>
      </c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49">
        <f t="shared" si="21"/>
        <v>0</v>
      </c>
    </row>
    <row r="99" spans="1:57" ht="15" hidden="1" customHeight="1" x14ac:dyDescent="0.2">
      <c r="A99" s="36">
        <v>88</v>
      </c>
      <c r="B99" s="59"/>
      <c r="C99" s="38"/>
      <c r="D99" s="38" t="e">
        <f>VLOOKUP(C99,Planilha1!$J$2:$L$206,3,)</f>
        <v>#N/A</v>
      </c>
      <c r="E99" s="39"/>
      <c r="F99" s="40"/>
      <c r="G99" s="49"/>
      <c r="H99" s="60">
        <f t="shared" si="15"/>
        <v>0</v>
      </c>
      <c r="I99" s="49">
        <f t="shared" si="16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49">
        <f t="shared" si="17"/>
        <v>0</v>
      </c>
      <c r="V99" s="29">
        <f t="shared" si="18"/>
        <v>0</v>
      </c>
      <c r="W99" s="29">
        <f t="shared" si="19"/>
        <v>0</v>
      </c>
      <c r="X99" s="61">
        <f t="shared" si="22"/>
        <v>0</v>
      </c>
      <c r="Y99" s="61"/>
      <c r="Z99" s="61"/>
      <c r="AA99" s="61"/>
      <c r="AB99" s="61"/>
      <c r="AC99" s="61"/>
      <c r="AD99" s="61"/>
      <c r="AE99" s="49">
        <f t="shared" si="20"/>
        <v>0</v>
      </c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49">
        <f t="shared" si="21"/>
        <v>0</v>
      </c>
    </row>
    <row r="100" spans="1:57" ht="15" hidden="1" customHeight="1" x14ac:dyDescent="0.2">
      <c r="A100" s="36">
        <v>89</v>
      </c>
      <c r="B100" s="59"/>
      <c r="C100" s="38"/>
      <c r="D100" s="38" t="e">
        <f>VLOOKUP(C100,Planilha1!$J$2:$L$206,3,)</f>
        <v>#N/A</v>
      </c>
      <c r="E100" s="39"/>
      <c r="F100" s="40"/>
      <c r="G100" s="49"/>
      <c r="H100" s="60">
        <f t="shared" si="15"/>
        <v>0</v>
      </c>
      <c r="I100" s="49">
        <f t="shared" si="16"/>
        <v>0</v>
      </c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49">
        <f t="shared" si="17"/>
        <v>0</v>
      </c>
      <c r="V100" s="29">
        <f t="shared" si="18"/>
        <v>0</v>
      </c>
      <c r="W100" s="29">
        <f t="shared" si="19"/>
        <v>0</v>
      </c>
      <c r="X100" s="61">
        <f t="shared" si="22"/>
        <v>0</v>
      </c>
      <c r="Y100" s="61"/>
      <c r="Z100" s="61"/>
      <c r="AA100" s="61"/>
      <c r="AB100" s="61"/>
      <c r="AC100" s="61"/>
      <c r="AD100" s="61"/>
      <c r="AE100" s="61">
        <f t="shared" si="20"/>
        <v>0</v>
      </c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49">
        <f t="shared" si="21"/>
        <v>0</v>
      </c>
    </row>
    <row r="101" spans="1:57" ht="15" hidden="1" customHeight="1" x14ac:dyDescent="0.2">
      <c r="A101" s="36">
        <v>90</v>
      </c>
      <c r="B101" s="59"/>
      <c r="C101" s="38"/>
      <c r="D101" s="38" t="e">
        <f>VLOOKUP(C101,Planilha1!$J$2:$L$206,3,)</f>
        <v>#N/A</v>
      </c>
      <c r="E101" s="39"/>
      <c r="F101" s="40"/>
      <c r="G101" s="49"/>
      <c r="H101" s="60">
        <f t="shared" si="15"/>
        <v>0</v>
      </c>
      <c r="I101" s="49">
        <f t="shared" si="16"/>
        <v>0</v>
      </c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49">
        <f t="shared" si="17"/>
        <v>0</v>
      </c>
      <c r="V101" s="29">
        <f t="shared" si="18"/>
        <v>0</v>
      </c>
      <c r="W101" s="29">
        <f t="shared" si="19"/>
        <v>0</v>
      </c>
      <c r="X101" s="61">
        <f t="shared" si="22"/>
        <v>0</v>
      </c>
      <c r="Y101" s="61"/>
      <c r="Z101" s="61"/>
      <c r="AA101" s="61"/>
      <c r="AB101" s="61"/>
      <c r="AC101" s="61"/>
      <c r="AD101" s="61"/>
      <c r="AE101" s="49">
        <f t="shared" si="20"/>
        <v>0</v>
      </c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49">
        <f t="shared" si="21"/>
        <v>0</v>
      </c>
    </row>
    <row r="102" spans="1:57" ht="15" hidden="1" customHeight="1" x14ac:dyDescent="0.2">
      <c r="A102" s="36">
        <v>91</v>
      </c>
      <c r="B102" s="59"/>
      <c r="C102" s="38"/>
      <c r="D102" s="38" t="e">
        <f>VLOOKUP(C102,Planilha1!$J$2:$L$206,3,)</f>
        <v>#N/A</v>
      </c>
      <c r="E102" s="39"/>
      <c r="F102" s="40"/>
      <c r="G102" s="49"/>
      <c r="H102" s="60">
        <f t="shared" si="15"/>
        <v>0</v>
      </c>
      <c r="I102" s="49">
        <f t="shared" si="16"/>
        <v>0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49">
        <f t="shared" si="17"/>
        <v>0</v>
      </c>
      <c r="V102" s="29">
        <f t="shared" si="18"/>
        <v>0</v>
      </c>
      <c r="W102" s="29">
        <f t="shared" si="19"/>
        <v>0</v>
      </c>
      <c r="X102" s="61">
        <f t="shared" si="22"/>
        <v>0</v>
      </c>
      <c r="Y102" s="61"/>
      <c r="Z102" s="61"/>
      <c r="AA102" s="61"/>
      <c r="AB102" s="61"/>
      <c r="AC102" s="61"/>
      <c r="AD102" s="61"/>
      <c r="AE102" s="61">
        <f t="shared" si="20"/>
        <v>0</v>
      </c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49">
        <f t="shared" si="21"/>
        <v>0</v>
      </c>
    </row>
    <row r="103" spans="1:57" ht="15" hidden="1" customHeight="1" x14ac:dyDescent="0.2">
      <c r="A103" s="36">
        <v>92</v>
      </c>
      <c r="B103" s="59"/>
      <c r="C103" s="38"/>
      <c r="D103" s="38" t="e">
        <f>VLOOKUP(C103,Planilha1!$J$2:$L$206,3,)</f>
        <v>#N/A</v>
      </c>
      <c r="E103" s="39"/>
      <c r="F103" s="40"/>
      <c r="G103" s="49"/>
      <c r="H103" s="60">
        <f t="shared" si="15"/>
        <v>0</v>
      </c>
      <c r="I103" s="49">
        <f t="shared" si="16"/>
        <v>0</v>
      </c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49">
        <f t="shared" si="17"/>
        <v>0</v>
      </c>
      <c r="V103" s="29">
        <f t="shared" si="18"/>
        <v>0</v>
      </c>
      <c r="W103" s="29">
        <f t="shared" si="19"/>
        <v>0</v>
      </c>
      <c r="X103" s="61">
        <f t="shared" si="22"/>
        <v>0</v>
      </c>
      <c r="Y103" s="61"/>
      <c r="Z103" s="61"/>
      <c r="AA103" s="61"/>
      <c r="AB103" s="61"/>
      <c r="AC103" s="61"/>
      <c r="AD103" s="61"/>
      <c r="AE103" s="49">
        <f t="shared" si="20"/>
        <v>0</v>
      </c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49">
        <f t="shared" si="21"/>
        <v>0</v>
      </c>
    </row>
    <row r="104" spans="1:57" ht="15" hidden="1" customHeight="1" x14ac:dyDescent="0.2">
      <c r="A104" s="36">
        <v>93</v>
      </c>
      <c r="B104" s="59"/>
      <c r="C104" s="38"/>
      <c r="D104" s="38" t="e">
        <f>VLOOKUP(C104,Planilha1!$J$2:$L$206,3,)</f>
        <v>#N/A</v>
      </c>
      <c r="E104" s="39"/>
      <c r="F104" s="40"/>
      <c r="G104" s="49"/>
      <c r="H104" s="60">
        <f t="shared" si="15"/>
        <v>0</v>
      </c>
      <c r="I104" s="49">
        <f t="shared" si="16"/>
        <v>0</v>
      </c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49">
        <f t="shared" si="17"/>
        <v>0</v>
      </c>
      <c r="V104" s="29">
        <f t="shared" si="18"/>
        <v>0</v>
      </c>
      <c r="W104" s="29">
        <f t="shared" si="19"/>
        <v>0</v>
      </c>
      <c r="X104" s="61">
        <f t="shared" si="22"/>
        <v>0</v>
      </c>
      <c r="Y104" s="61"/>
      <c r="Z104" s="61"/>
      <c r="AA104" s="61"/>
      <c r="AB104" s="61"/>
      <c r="AC104" s="61"/>
      <c r="AD104" s="61"/>
      <c r="AE104" s="61">
        <f t="shared" si="20"/>
        <v>0</v>
      </c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49">
        <f t="shared" si="21"/>
        <v>0</v>
      </c>
    </row>
    <row r="105" spans="1:57" ht="15" hidden="1" customHeight="1" x14ac:dyDescent="0.2">
      <c r="A105" s="36">
        <v>94</v>
      </c>
      <c r="B105" s="59"/>
      <c r="C105" s="38"/>
      <c r="D105" s="38" t="e">
        <f>VLOOKUP(C105,Planilha1!$J$2:$L$206,3,)</f>
        <v>#N/A</v>
      </c>
      <c r="E105" s="39"/>
      <c r="F105" s="40"/>
      <c r="G105" s="49"/>
      <c r="H105" s="60">
        <f t="shared" si="15"/>
        <v>0</v>
      </c>
      <c r="I105" s="49">
        <f t="shared" si="16"/>
        <v>0</v>
      </c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49">
        <f t="shared" si="17"/>
        <v>0</v>
      </c>
      <c r="V105" s="29">
        <f t="shared" si="18"/>
        <v>0</v>
      </c>
      <c r="W105" s="29">
        <f t="shared" si="19"/>
        <v>0</v>
      </c>
      <c r="X105" s="61">
        <f t="shared" si="22"/>
        <v>0</v>
      </c>
      <c r="Y105" s="61"/>
      <c r="Z105" s="61"/>
      <c r="AA105" s="61"/>
      <c r="AB105" s="61"/>
      <c r="AC105" s="61"/>
      <c r="AD105" s="61"/>
      <c r="AE105" s="49">
        <f t="shared" si="20"/>
        <v>0</v>
      </c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49">
        <f t="shared" si="21"/>
        <v>0</v>
      </c>
    </row>
    <row r="106" spans="1:57" ht="15" hidden="1" customHeight="1" x14ac:dyDescent="0.2">
      <c r="A106" s="36">
        <v>95</v>
      </c>
      <c r="B106" s="59"/>
      <c r="C106" s="38"/>
      <c r="D106" s="38" t="e">
        <f>VLOOKUP(C106,Planilha1!$J$2:$L$206,3,)</f>
        <v>#N/A</v>
      </c>
      <c r="E106" s="39"/>
      <c r="F106" s="40"/>
      <c r="G106" s="49"/>
      <c r="H106" s="60">
        <f t="shared" si="15"/>
        <v>0</v>
      </c>
      <c r="I106" s="49">
        <f t="shared" si="16"/>
        <v>0</v>
      </c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49">
        <f t="shared" si="17"/>
        <v>0</v>
      </c>
      <c r="V106" s="29">
        <f t="shared" si="18"/>
        <v>0</v>
      </c>
      <c r="W106" s="29">
        <f t="shared" si="19"/>
        <v>0</v>
      </c>
      <c r="X106" s="61">
        <f t="shared" si="22"/>
        <v>0</v>
      </c>
      <c r="Y106" s="61"/>
      <c r="Z106" s="61"/>
      <c r="AA106" s="61"/>
      <c r="AB106" s="61"/>
      <c r="AC106" s="61"/>
      <c r="AD106" s="61"/>
      <c r="AE106" s="61">
        <f t="shared" si="20"/>
        <v>0</v>
      </c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49">
        <f t="shared" si="21"/>
        <v>0</v>
      </c>
    </row>
    <row r="107" spans="1:57" ht="15" hidden="1" customHeight="1" x14ac:dyDescent="0.2">
      <c r="A107" s="36">
        <v>96</v>
      </c>
      <c r="B107" s="59"/>
      <c r="C107" s="38"/>
      <c r="D107" s="38" t="e">
        <f>VLOOKUP(C107,Planilha1!$J$2:$L$206,3,)</f>
        <v>#N/A</v>
      </c>
      <c r="E107" s="39"/>
      <c r="F107" s="40"/>
      <c r="G107" s="49"/>
      <c r="H107" s="60">
        <f t="shared" si="15"/>
        <v>0</v>
      </c>
      <c r="I107" s="49">
        <f t="shared" si="16"/>
        <v>0</v>
      </c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49">
        <f t="shared" si="17"/>
        <v>0</v>
      </c>
      <c r="V107" s="29">
        <f t="shared" si="18"/>
        <v>0</v>
      </c>
      <c r="W107" s="29">
        <f t="shared" si="19"/>
        <v>0</v>
      </c>
      <c r="X107" s="61">
        <f t="shared" si="22"/>
        <v>0</v>
      </c>
      <c r="Y107" s="61"/>
      <c r="Z107" s="61"/>
      <c r="AA107" s="61"/>
      <c r="AB107" s="61"/>
      <c r="AC107" s="61"/>
      <c r="AD107" s="61"/>
      <c r="AE107" s="49">
        <f t="shared" si="20"/>
        <v>0</v>
      </c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49">
        <f t="shared" si="21"/>
        <v>0</v>
      </c>
    </row>
    <row r="108" spans="1:57" ht="15" hidden="1" customHeight="1" x14ac:dyDescent="0.2">
      <c r="A108" s="36">
        <v>97</v>
      </c>
      <c r="B108" s="59"/>
      <c r="C108" s="38"/>
      <c r="D108" s="38" t="e">
        <f>VLOOKUP(C108,Planilha1!$J$2:$L$206,3,)</f>
        <v>#N/A</v>
      </c>
      <c r="E108" s="39"/>
      <c r="F108" s="40"/>
      <c r="G108" s="49"/>
      <c r="H108" s="60">
        <f t="shared" si="15"/>
        <v>0</v>
      </c>
      <c r="I108" s="49">
        <f t="shared" si="16"/>
        <v>0</v>
      </c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49">
        <f t="shared" si="17"/>
        <v>0</v>
      </c>
      <c r="V108" s="29">
        <f t="shared" si="18"/>
        <v>0</v>
      </c>
      <c r="W108" s="29">
        <f t="shared" si="19"/>
        <v>0</v>
      </c>
      <c r="X108" s="61">
        <f t="shared" si="22"/>
        <v>0</v>
      </c>
      <c r="Y108" s="61"/>
      <c r="Z108" s="61"/>
      <c r="AA108" s="61"/>
      <c r="AB108" s="61"/>
      <c r="AC108" s="61"/>
      <c r="AD108" s="61"/>
      <c r="AE108" s="61">
        <f t="shared" si="20"/>
        <v>0</v>
      </c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49">
        <f t="shared" si="21"/>
        <v>0</v>
      </c>
    </row>
    <row r="109" spans="1:57" ht="15" hidden="1" customHeight="1" x14ac:dyDescent="0.2">
      <c r="A109" s="36">
        <v>98</v>
      </c>
      <c r="B109" s="59"/>
      <c r="C109" s="38"/>
      <c r="D109" s="38" t="e">
        <f>VLOOKUP(C109,Planilha1!$J$2:$L$206,3,)</f>
        <v>#N/A</v>
      </c>
      <c r="E109" s="39"/>
      <c r="F109" s="40"/>
      <c r="G109" s="49"/>
      <c r="H109" s="60">
        <f t="shared" si="15"/>
        <v>0</v>
      </c>
      <c r="I109" s="49">
        <f t="shared" si="16"/>
        <v>0</v>
      </c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49">
        <f t="shared" si="17"/>
        <v>0</v>
      </c>
      <c r="V109" s="29">
        <f t="shared" si="18"/>
        <v>0</v>
      </c>
      <c r="W109" s="29">
        <f t="shared" si="19"/>
        <v>0</v>
      </c>
      <c r="X109" s="61">
        <f t="shared" si="22"/>
        <v>0</v>
      </c>
      <c r="Y109" s="61"/>
      <c r="Z109" s="61"/>
      <c r="AA109" s="61"/>
      <c r="AB109" s="61"/>
      <c r="AC109" s="61"/>
      <c r="AD109" s="61"/>
      <c r="AE109" s="49">
        <f t="shared" si="20"/>
        <v>0</v>
      </c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49">
        <f t="shared" si="21"/>
        <v>0</v>
      </c>
    </row>
    <row r="110" spans="1:57" ht="15" hidden="1" customHeight="1" x14ac:dyDescent="0.2">
      <c r="A110" s="36">
        <v>99</v>
      </c>
      <c r="B110" s="59"/>
      <c r="C110" s="38"/>
      <c r="D110" s="38" t="e">
        <f>VLOOKUP(C110,Planilha1!$J$2:$L$206,3,)</f>
        <v>#N/A</v>
      </c>
      <c r="E110" s="39"/>
      <c r="F110" s="40"/>
      <c r="G110" s="49"/>
      <c r="H110" s="60">
        <f t="shared" si="15"/>
        <v>0</v>
      </c>
      <c r="I110" s="49">
        <f t="shared" si="16"/>
        <v>0</v>
      </c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49">
        <f t="shared" si="17"/>
        <v>0</v>
      </c>
      <c r="V110" s="29">
        <f t="shared" si="18"/>
        <v>0</v>
      </c>
      <c r="W110" s="29">
        <f t="shared" si="19"/>
        <v>0</v>
      </c>
      <c r="X110" s="61">
        <f t="shared" si="22"/>
        <v>0</v>
      </c>
      <c r="Y110" s="61"/>
      <c r="Z110" s="61"/>
      <c r="AA110" s="61"/>
      <c r="AB110" s="61"/>
      <c r="AC110" s="61"/>
      <c r="AD110" s="61"/>
      <c r="AE110" s="61">
        <f t="shared" si="20"/>
        <v>0</v>
      </c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49">
        <f t="shared" si="21"/>
        <v>0</v>
      </c>
    </row>
    <row r="111" spans="1:57" ht="15" hidden="1" customHeight="1" x14ac:dyDescent="0.2">
      <c r="A111" s="36">
        <v>100</v>
      </c>
      <c r="B111" s="59"/>
      <c r="C111" s="38"/>
      <c r="D111" s="38" t="e">
        <f>VLOOKUP(C111,Planilha1!$J$2:$L$206,3,)</f>
        <v>#N/A</v>
      </c>
      <c r="E111" s="39"/>
      <c r="F111" s="40"/>
      <c r="G111" s="49"/>
      <c r="H111" s="60">
        <f t="shared" si="15"/>
        <v>0</v>
      </c>
      <c r="I111" s="49">
        <f t="shared" si="16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49">
        <f t="shared" si="17"/>
        <v>0</v>
      </c>
      <c r="V111" s="29">
        <f t="shared" si="18"/>
        <v>0</v>
      </c>
      <c r="W111" s="29">
        <f t="shared" si="19"/>
        <v>0</v>
      </c>
      <c r="X111" s="61">
        <f t="shared" si="22"/>
        <v>0</v>
      </c>
      <c r="Y111" s="61"/>
      <c r="Z111" s="61"/>
      <c r="AA111" s="61"/>
      <c r="AB111" s="61"/>
      <c r="AC111" s="61"/>
      <c r="AD111" s="61"/>
      <c r="AE111" s="49">
        <f t="shared" si="20"/>
        <v>0</v>
      </c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49">
        <f t="shared" si="21"/>
        <v>0</v>
      </c>
    </row>
    <row r="112" spans="1:57" ht="15" hidden="1" customHeight="1" x14ac:dyDescent="0.2">
      <c r="A112" s="36">
        <v>101</v>
      </c>
      <c r="B112" s="59"/>
      <c r="C112" s="38"/>
      <c r="D112" s="38" t="e">
        <f>VLOOKUP(C112,Planilha1!$J$2:$L$206,3,)</f>
        <v>#N/A</v>
      </c>
      <c r="E112" s="39"/>
      <c r="F112" s="40"/>
      <c r="G112" s="49"/>
      <c r="H112" s="60">
        <f t="shared" si="15"/>
        <v>0</v>
      </c>
      <c r="I112" s="49">
        <f t="shared" si="16"/>
        <v>0</v>
      </c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49">
        <f t="shared" si="17"/>
        <v>0</v>
      </c>
      <c r="V112" s="29">
        <f t="shared" si="18"/>
        <v>0</v>
      </c>
      <c r="W112" s="29">
        <f t="shared" si="19"/>
        <v>0</v>
      </c>
      <c r="X112" s="61">
        <f t="shared" si="22"/>
        <v>0</v>
      </c>
      <c r="Y112" s="61"/>
      <c r="Z112" s="61"/>
      <c r="AA112" s="61"/>
      <c r="AB112" s="61"/>
      <c r="AC112" s="61"/>
      <c r="AD112" s="61"/>
      <c r="AE112" s="61">
        <f t="shared" si="20"/>
        <v>0</v>
      </c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49">
        <f t="shared" si="21"/>
        <v>0</v>
      </c>
    </row>
    <row r="113" spans="1:57" ht="15" hidden="1" customHeight="1" x14ac:dyDescent="0.2">
      <c r="A113" s="36">
        <v>102</v>
      </c>
      <c r="B113" s="59"/>
      <c r="C113" s="38"/>
      <c r="D113" s="38" t="e">
        <f>VLOOKUP(C113,Planilha1!$J$2:$L$206,3,)</f>
        <v>#N/A</v>
      </c>
      <c r="E113" s="39"/>
      <c r="F113" s="40"/>
      <c r="G113" s="49"/>
      <c r="H113" s="60">
        <f t="shared" si="15"/>
        <v>0</v>
      </c>
      <c r="I113" s="49">
        <f t="shared" si="16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49">
        <f t="shared" si="17"/>
        <v>0</v>
      </c>
      <c r="V113" s="29">
        <f t="shared" si="18"/>
        <v>0</v>
      </c>
      <c r="W113" s="29">
        <f t="shared" si="19"/>
        <v>0</v>
      </c>
      <c r="X113" s="61">
        <f t="shared" si="22"/>
        <v>0</v>
      </c>
      <c r="Y113" s="61"/>
      <c r="Z113" s="61"/>
      <c r="AA113" s="61"/>
      <c r="AB113" s="61"/>
      <c r="AC113" s="61"/>
      <c r="AD113" s="61"/>
      <c r="AE113" s="49">
        <f t="shared" si="20"/>
        <v>0</v>
      </c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49">
        <f t="shared" si="21"/>
        <v>0</v>
      </c>
    </row>
    <row r="114" spans="1:57" ht="15" hidden="1" customHeight="1" x14ac:dyDescent="0.2">
      <c r="A114" s="36">
        <v>103</v>
      </c>
      <c r="B114" s="59"/>
      <c r="C114" s="38"/>
      <c r="D114" s="38" t="e">
        <f>VLOOKUP(C114,Planilha1!$J$2:$L$206,3,)</f>
        <v>#N/A</v>
      </c>
      <c r="E114" s="39"/>
      <c r="F114" s="40"/>
      <c r="G114" s="49"/>
      <c r="H114" s="60">
        <f t="shared" si="15"/>
        <v>0</v>
      </c>
      <c r="I114" s="49">
        <f t="shared" si="16"/>
        <v>0</v>
      </c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49">
        <f t="shared" si="17"/>
        <v>0</v>
      </c>
      <c r="V114" s="29">
        <f t="shared" si="18"/>
        <v>0</v>
      </c>
      <c r="W114" s="29">
        <f t="shared" si="19"/>
        <v>0</v>
      </c>
      <c r="X114" s="61">
        <f t="shared" si="22"/>
        <v>0</v>
      </c>
      <c r="Y114" s="61"/>
      <c r="Z114" s="61"/>
      <c r="AA114" s="61"/>
      <c r="AB114" s="61"/>
      <c r="AC114" s="61"/>
      <c r="AD114" s="61"/>
      <c r="AE114" s="61">
        <f t="shared" si="20"/>
        <v>0</v>
      </c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49">
        <f t="shared" si="21"/>
        <v>0</v>
      </c>
    </row>
    <row r="115" spans="1:57" ht="15" hidden="1" customHeight="1" x14ac:dyDescent="0.2">
      <c r="A115" s="36">
        <v>104</v>
      </c>
      <c r="B115" s="59"/>
      <c r="C115" s="38"/>
      <c r="D115" s="38" t="e">
        <f>VLOOKUP(C115,Planilha1!$J$2:$L$206,3,)</f>
        <v>#N/A</v>
      </c>
      <c r="E115" s="39"/>
      <c r="F115" s="40"/>
      <c r="G115" s="49"/>
      <c r="H115" s="60">
        <f t="shared" si="15"/>
        <v>0</v>
      </c>
      <c r="I115" s="49">
        <f t="shared" si="16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49">
        <f t="shared" si="17"/>
        <v>0</v>
      </c>
      <c r="V115" s="29">
        <f t="shared" si="18"/>
        <v>0</v>
      </c>
      <c r="W115" s="29">
        <f t="shared" si="19"/>
        <v>0</v>
      </c>
      <c r="X115" s="61">
        <f t="shared" si="22"/>
        <v>0</v>
      </c>
      <c r="Y115" s="61"/>
      <c r="Z115" s="61"/>
      <c r="AA115" s="61"/>
      <c r="AB115" s="61"/>
      <c r="AC115" s="61"/>
      <c r="AD115" s="61"/>
      <c r="AE115" s="49">
        <f t="shared" si="20"/>
        <v>0</v>
      </c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49">
        <f t="shared" si="21"/>
        <v>0</v>
      </c>
    </row>
    <row r="116" spans="1:57" ht="15" hidden="1" customHeight="1" x14ac:dyDescent="0.2">
      <c r="A116" s="36">
        <v>105</v>
      </c>
      <c r="B116" s="59"/>
      <c r="C116" s="38"/>
      <c r="D116" s="38" t="e">
        <f>VLOOKUP(C116,Planilha1!$J$2:$L$206,3,)</f>
        <v>#N/A</v>
      </c>
      <c r="E116" s="39"/>
      <c r="F116" s="40"/>
      <c r="G116" s="49"/>
      <c r="H116" s="60">
        <f t="shared" si="15"/>
        <v>0</v>
      </c>
      <c r="I116" s="49">
        <f t="shared" si="16"/>
        <v>0</v>
      </c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49">
        <f t="shared" si="17"/>
        <v>0</v>
      </c>
      <c r="V116" s="29">
        <f t="shared" si="18"/>
        <v>0</v>
      </c>
      <c r="W116" s="29">
        <f t="shared" si="19"/>
        <v>0</v>
      </c>
      <c r="X116" s="61">
        <f t="shared" si="22"/>
        <v>0</v>
      </c>
      <c r="Y116" s="61"/>
      <c r="Z116" s="61"/>
      <c r="AA116" s="61"/>
      <c r="AB116" s="61"/>
      <c r="AC116" s="61"/>
      <c r="AD116" s="61"/>
      <c r="AE116" s="61">
        <f t="shared" si="20"/>
        <v>0</v>
      </c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49">
        <f t="shared" si="21"/>
        <v>0</v>
      </c>
    </row>
    <row r="117" spans="1:57" ht="15" hidden="1" customHeight="1" x14ac:dyDescent="0.2">
      <c r="A117" s="36">
        <v>106</v>
      </c>
      <c r="B117" s="59"/>
      <c r="C117" s="38"/>
      <c r="D117" s="38" t="e">
        <f>VLOOKUP(C117,Planilha1!$J$2:$L$206,3,)</f>
        <v>#N/A</v>
      </c>
      <c r="E117" s="39"/>
      <c r="F117" s="40"/>
      <c r="G117" s="49"/>
      <c r="H117" s="60">
        <f t="shared" si="15"/>
        <v>0</v>
      </c>
      <c r="I117" s="49">
        <f t="shared" si="16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49">
        <f t="shared" si="17"/>
        <v>0</v>
      </c>
      <c r="V117" s="29">
        <f t="shared" si="18"/>
        <v>0</v>
      </c>
      <c r="W117" s="29">
        <f t="shared" si="19"/>
        <v>0</v>
      </c>
      <c r="X117" s="61">
        <f t="shared" si="22"/>
        <v>0</v>
      </c>
      <c r="Y117" s="61"/>
      <c r="Z117" s="61"/>
      <c r="AA117" s="61"/>
      <c r="AB117" s="61"/>
      <c r="AC117" s="61"/>
      <c r="AD117" s="61"/>
      <c r="AE117" s="49">
        <f t="shared" si="20"/>
        <v>0</v>
      </c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49">
        <f t="shared" si="21"/>
        <v>0</v>
      </c>
    </row>
    <row r="118" spans="1:57" ht="15" hidden="1" customHeight="1" x14ac:dyDescent="0.2">
      <c r="A118" s="36">
        <v>107</v>
      </c>
      <c r="B118" s="59"/>
      <c r="C118" s="38"/>
      <c r="D118" s="38" t="e">
        <f>VLOOKUP(C118,Planilha1!$J$2:$L$206,3,)</f>
        <v>#N/A</v>
      </c>
      <c r="E118" s="39"/>
      <c r="F118" s="40"/>
      <c r="G118" s="49"/>
      <c r="H118" s="60">
        <f t="shared" si="15"/>
        <v>0</v>
      </c>
      <c r="I118" s="49">
        <f t="shared" si="16"/>
        <v>0</v>
      </c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49">
        <f t="shared" si="17"/>
        <v>0</v>
      </c>
      <c r="V118" s="29">
        <f t="shared" si="18"/>
        <v>0</v>
      </c>
      <c r="W118" s="29">
        <f t="shared" si="19"/>
        <v>0</v>
      </c>
      <c r="X118" s="61">
        <f t="shared" si="22"/>
        <v>0</v>
      </c>
      <c r="Y118" s="61"/>
      <c r="Z118" s="61"/>
      <c r="AA118" s="61"/>
      <c r="AB118" s="61"/>
      <c r="AC118" s="61"/>
      <c r="AD118" s="61"/>
      <c r="AE118" s="61">
        <f t="shared" si="20"/>
        <v>0</v>
      </c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49">
        <f t="shared" si="21"/>
        <v>0</v>
      </c>
    </row>
    <row r="119" spans="1:57" ht="15" customHeight="1" thickBot="1" x14ac:dyDescent="0.25">
      <c r="C119" s="41" t="s">
        <v>2</v>
      </c>
      <c r="D119" s="42"/>
      <c r="E119" s="43"/>
      <c r="F119" s="48">
        <f>SUM(F12:F118)</f>
        <v>499925</v>
      </c>
      <c r="G119" s="44"/>
      <c r="H119" s="44">
        <f t="shared" ref="H119:U119" si="23">SUM(H12:H118)</f>
        <v>4587</v>
      </c>
      <c r="I119" s="44">
        <f t="shared" si="23"/>
        <v>82</v>
      </c>
      <c r="J119" s="44">
        <f t="shared" si="23"/>
        <v>0</v>
      </c>
      <c r="K119" s="44">
        <f t="shared" si="23"/>
        <v>0</v>
      </c>
      <c r="L119" s="44">
        <f t="shared" si="23"/>
        <v>16</v>
      </c>
      <c r="M119" s="44">
        <f t="shared" si="23"/>
        <v>5</v>
      </c>
      <c r="N119" s="44">
        <f t="shared" si="23"/>
        <v>0</v>
      </c>
      <c r="O119" s="44">
        <f t="shared" si="23"/>
        <v>0</v>
      </c>
      <c r="P119" s="44">
        <f t="shared" si="23"/>
        <v>12</v>
      </c>
      <c r="Q119" s="44">
        <f t="shared" si="23"/>
        <v>2</v>
      </c>
      <c r="R119" s="44">
        <f t="shared" si="23"/>
        <v>1</v>
      </c>
      <c r="S119" s="44">
        <f t="shared" si="23"/>
        <v>35</v>
      </c>
      <c r="T119" s="44">
        <f t="shared" si="23"/>
        <v>11</v>
      </c>
      <c r="U119" s="44">
        <f t="shared" si="23"/>
        <v>4505</v>
      </c>
      <c r="V119" s="45">
        <f t="shared" si="2"/>
        <v>0.98212339219533462</v>
      </c>
      <c r="W119" s="45">
        <f t="shared" si="3"/>
        <v>1.7876607804665358E-2</v>
      </c>
      <c r="X119" s="44">
        <f>SUM(X12:X118)</f>
        <v>510</v>
      </c>
      <c r="Y119" s="44">
        <f>SUM(Y12:Y118)</f>
        <v>0</v>
      </c>
      <c r="Z119" s="44">
        <f>SUM(Z12:Z118)</f>
        <v>0</v>
      </c>
      <c r="AA119" s="44">
        <f>SUM(AA12:AA118)</f>
        <v>417</v>
      </c>
      <c r="AB119" s="44">
        <f>SUM(AB12:AB118)</f>
        <v>81</v>
      </c>
      <c r="AC119" s="44">
        <f t="shared" ref="AC119:AD119" si="24">SUM(AC12:AC118)</f>
        <v>12</v>
      </c>
      <c r="AD119" s="44">
        <f t="shared" si="24"/>
        <v>0</v>
      </c>
      <c r="AE119" s="44">
        <f t="shared" ref="AE119:BE119" si="25">SUM(AE12:AE118)</f>
        <v>3995</v>
      </c>
      <c r="AF119" s="44">
        <f t="shared" si="25"/>
        <v>0</v>
      </c>
      <c r="AG119" s="44">
        <f t="shared" si="25"/>
        <v>0</v>
      </c>
      <c r="AH119" s="44">
        <f t="shared" si="25"/>
        <v>35</v>
      </c>
      <c r="AI119" s="44">
        <f t="shared" si="25"/>
        <v>0</v>
      </c>
      <c r="AJ119" s="44">
        <f t="shared" si="25"/>
        <v>2386</v>
      </c>
      <c r="AK119" s="44">
        <f t="shared" si="25"/>
        <v>0</v>
      </c>
      <c r="AL119" s="44">
        <f t="shared" si="25"/>
        <v>5</v>
      </c>
      <c r="AM119" s="44">
        <f t="shared" si="25"/>
        <v>26</v>
      </c>
      <c r="AN119" s="44">
        <f t="shared" si="25"/>
        <v>0</v>
      </c>
      <c r="AO119" s="44">
        <f t="shared" si="25"/>
        <v>4</v>
      </c>
      <c r="AP119" s="44">
        <f t="shared" si="25"/>
        <v>0</v>
      </c>
      <c r="AQ119" s="44">
        <f t="shared" si="25"/>
        <v>67</v>
      </c>
      <c r="AR119" s="44">
        <f t="shared" si="25"/>
        <v>0</v>
      </c>
      <c r="AS119" s="44">
        <f t="shared" si="25"/>
        <v>3</v>
      </c>
      <c r="AT119" s="44">
        <f t="shared" si="25"/>
        <v>33</v>
      </c>
      <c r="AU119" s="44">
        <f t="shared" si="25"/>
        <v>0</v>
      </c>
      <c r="AV119" s="44">
        <f t="shared" si="25"/>
        <v>0</v>
      </c>
      <c r="AW119" s="44">
        <f t="shared" si="25"/>
        <v>1289</v>
      </c>
      <c r="AX119" s="44">
        <f t="shared" si="25"/>
        <v>0</v>
      </c>
      <c r="AY119" s="44">
        <f t="shared" si="25"/>
        <v>58</v>
      </c>
      <c r="AZ119" s="44">
        <f t="shared" si="25"/>
        <v>41</v>
      </c>
      <c r="BA119" s="44">
        <f t="shared" si="25"/>
        <v>23</v>
      </c>
      <c r="BB119" s="44">
        <f t="shared" si="25"/>
        <v>2</v>
      </c>
      <c r="BC119" s="44">
        <f t="shared" si="25"/>
        <v>22</v>
      </c>
      <c r="BD119" s="44">
        <f t="shared" si="25"/>
        <v>1</v>
      </c>
      <c r="BE119" s="46">
        <f t="shared" si="25"/>
        <v>4077</v>
      </c>
    </row>
    <row r="120" spans="1:57" ht="16" thickBot="1" x14ac:dyDescent="0.25">
      <c r="BA120" s="2"/>
      <c r="BB120" s="2"/>
      <c r="BC120" s="1"/>
    </row>
    <row r="121" spans="1:57" x14ac:dyDescent="0.2">
      <c r="C121" s="22" t="s">
        <v>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25"/>
    </row>
    <row r="122" spans="1:57" x14ac:dyDescent="0.2">
      <c r="C122" s="23"/>
      <c r="BE122" s="26"/>
    </row>
    <row r="123" spans="1:57" x14ac:dyDescent="0.2">
      <c r="C123" s="23"/>
      <c r="BE123" s="26"/>
    </row>
    <row r="124" spans="1:57" x14ac:dyDescent="0.2">
      <c r="C124" s="23"/>
      <c r="BE124" s="26"/>
    </row>
    <row r="125" spans="1:57" x14ac:dyDescent="0.2">
      <c r="C125" s="23" t="str">
        <f>'RELATÓRIO APROV. DE LEGÍVEIS'!C421</f>
        <v>GOIÂNIA, 01 DE SETEMBRO DE 2024</v>
      </c>
      <c r="BE125" s="26"/>
    </row>
    <row r="126" spans="1:57" ht="16" thickBot="1" x14ac:dyDescent="0.25">
      <c r="C126" s="2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27"/>
    </row>
  </sheetData>
  <autoFilter ref="A11:BE119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C3:R4"/>
    <mergeCell ref="U3:AB3"/>
    <mergeCell ref="U4:AB4"/>
    <mergeCell ref="C5:L5"/>
    <mergeCell ref="U5:AB5"/>
    <mergeCell ref="AD6:AO6"/>
    <mergeCell ref="C7:L7"/>
    <mergeCell ref="U7:AB7"/>
    <mergeCell ref="C10:H10"/>
    <mergeCell ref="J11:T11"/>
    <mergeCell ref="AF11:BD11"/>
    <mergeCell ref="C6:R6"/>
    <mergeCell ref="U6:AB6"/>
  </mergeCells>
  <conditionalFormatting sqref="H12:H118">
    <cfRule type="cellIs" dxfId="5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196E-EF07-214F-A683-4AFB0FF01878}">
  <sheetPr>
    <pageSetUpPr fitToPage="1"/>
  </sheetPr>
  <dimension ref="A1:BK49"/>
  <sheetViews>
    <sheetView showGridLines="0" zoomScale="90" zoomScaleNormal="90" workbookViewId="0">
      <pane ySplit="11" topLeftCell="A12" activePane="bottomLeft" state="frozen"/>
      <selection pane="bottomLeft" activeCell="AF12" sqref="AF12:BD21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24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 t="s">
        <v>402</v>
      </c>
      <c r="C12" s="37" t="s">
        <v>158</v>
      </c>
      <c r="D12" s="38">
        <f>VLOOKUP(C12,Planilha1!$J$2:$L$206,3,)</f>
        <v>2</v>
      </c>
      <c r="E12" s="39" t="s">
        <v>159</v>
      </c>
      <c r="F12" s="40">
        <v>43995</v>
      </c>
      <c r="G12" s="49">
        <v>21</v>
      </c>
      <c r="H12" s="60">
        <v>97</v>
      </c>
      <c r="I12" s="49">
        <v>3</v>
      </c>
      <c r="J12" s="79"/>
      <c r="K12" s="79"/>
      <c r="L12" s="79"/>
      <c r="M12" s="79"/>
      <c r="N12" s="79"/>
      <c r="O12" s="79"/>
      <c r="P12" s="79"/>
      <c r="Q12" s="79"/>
      <c r="R12" s="79"/>
      <c r="S12" s="79">
        <v>16</v>
      </c>
      <c r="T12" s="79"/>
      <c r="U12" s="49">
        <v>94</v>
      </c>
      <c r="V12" s="29">
        <v>0.96907216494845361</v>
      </c>
      <c r="W12" s="29">
        <v>3.0927835051546393E-2</v>
      </c>
      <c r="X12" s="61">
        <v>64</v>
      </c>
      <c r="Y12" s="61"/>
      <c r="Z12" s="61"/>
      <c r="AA12" s="61">
        <v>105</v>
      </c>
      <c r="AB12" s="61">
        <v>14</v>
      </c>
      <c r="AC12" s="61">
        <v>3</v>
      </c>
      <c r="AD12" s="61"/>
      <c r="AE12" s="61">
        <v>30</v>
      </c>
      <c r="AF12" s="39"/>
      <c r="AG12" s="39"/>
      <c r="AH12" s="39"/>
      <c r="AI12" s="39"/>
      <c r="AJ12" s="39">
        <v>10</v>
      </c>
      <c r="AK12" s="39"/>
      <c r="AL12" s="39"/>
      <c r="AM12" s="39">
        <v>1</v>
      </c>
      <c r="AN12" s="39"/>
      <c r="AO12" s="39"/>
      <c r="AP12" s="39"/>
      <c r="AQ12" s="39">
        <v>16</v>
      </c>
      <c r="AR12" s="39"/>
      <c r="AS12" s="39">
        <v>1</v>
      </c>
      <c r="AT12" s="39">
        <v>3</v>
      </c>
      <c r="AU12" s="39"/>
      <c r="AV12" s="39"/>
      <c r="AW12" s="39"/>
      <c r="AX12" s="39"/>
      <c r="AY12" s="39">
        <v>11</v>
      </c>
      <c r="AZ12" s="39"/>
      <c r="BA12" s="39">
        <v>2</v>
      </c>
      <c r="BB12" s="39"/>
      <c r="BC12" s="39">
        <v>10</v>
      </c>
      <c r="BD12" s="39"/>
      <c r="BE12" s="49">
        <v>33</v>
      </c>
    </row>
    <row r="13" spans="1:63" ht="15" customHeight="1" x14ac:dyDescent="0.2">
      <c r="A13" s="36">
        <v>2</v>
      </c>
      <c r="B13" s="59" t="s">
        <v>402</v>
      </c>
      <c r="C13" s="38" t="s">
        <v>160</v>
      </c>
      <c r="D13" s="38">
        <f>VLOOKUP(C13,Planilha1!$J$2:$L$206,3,)</f>
        <v>2</v>
      </c>
      <c r="E13" s="39" t="s">
        <v>159</v>
      </c>
      <c r="F13" s="40">
        <v>71217</v>
      </c>
      <c r="G13" s="49">
        <v>21</v>
      </c>
      <c r="H13" s="60">
        <v>105</v>
      </c>
      <c r="I13" s="49">
        <v>11</v>
      </c>
      <c r="J13" s="79"/>
      <c r="K13" s="79"/>
      <c r="L13" s="79">
        <v>1</v>
      </c>
      <c r="M13" s="79">
        <v>1</v>
      </c>
      <c r="N13" s="79"/>
      <c r="O13" s="79"/>
      <c r="P13" s="79">
        <v>2</v>
      </c>
      <c r="Q13" s="79"/>
      <c r="R13" s="79">
        <v>1</v>
      </c>
      <c r="S13" s="79">
        <v>31</v>
      </c>
      <c r="T13" s="79"/>
      <c r="U13" s="49">
        <v>94</v>
      </c>
      <c r="V13" s="29">
        <v>0.89523809523809528</v>
      </c>
      <c r="W13" s="29">
        <v>0.10476190476190476</v>
      </c>
      <c r="X13" s="61">
        <v>58</v>
      </c>
      <c r="Y13" s="61"/>
      <c r="Z13" s="61"/>
      <c r="AA13" s="61">
        <v>172</v>
      </c>
      <c r="AB13" s="61">
        <v>39</v>
      </c>
      <c r="AC13" s="61">
        <v>11</v>
      </c>
      <c r="AD13" s="61"/>
      <c r="AE13" s="49">
        <v>36</v>
      </c>
      <c r="AF13" s="39"/>
      <c r="AG13" s="39"/>
      <c r="AH13" s="39"/>
      <c r="AI13" s="39"/>
      <c r="AJ13" s="39">
        <v>4</v>
      </c>
      <c r="AK13" s="39"/>
      <c r="AL13" s="39"/>
      <c r="AM13" s="39">
        <v>10</v>
      </c>
      <c r="AN13" s="39"/>
      <c r="AO13" s="39"/>
      <c r="AP13" s="39"/>
      <c r="AQ13" s="39">
        <v>29</v>
      </c>
      <c r="AR13" s="39">
        <v>1</v>
      </c>
      <c r="AS13" s="39"/>
      <c r="AT13" s="39">
        <v>8</v>
      </c>
      <c r="AU13" s="39">
        <v>1</v>
      </c>
      <c r="AV13" s="39"/>
      <c r="AW13" s="39"/>
      <c r="AX13" s="39">
        <v>1</v>
      </c>
      <c r="AY13" s="39">
        <v>11</v>
      </c>
      <c r="AZ13" s="39">
        <v>6</v>
      </c>
      <c r="BA13" s="39">
        <v>4</v>
      </c>
      <c r="BB13" s="39"/>
      <c r="BC13" s="39">
        <v>20</v>
      </c>
      <c r="BD13" s="39"/>
      <c r="BE13" s="49">
        <v>47</v>
      </c>
    </row>
    <row r="14" spans="1:63" ht="15" customHeight="1" x14ac:dyDescent="0.2">
      <c r="A14" s="36">
        <v>3</v>
      </c>
      <c r="B14" s="59" t="s">
        <v>403</v>
      </c>
      <c r="C14" s="38" t="s">
        <v>161</v>
      </c>
      <c r="D14" s="38">
        <f>VLOOKUP(C14,Planilha1!$J$2:$L$206,3,)</f>
        <v>2</v>
      </c>
      <c r="E14" s="39" t="s">
        <v>162</v>
      </c>
      <c r="F14" s="40">
        <v>46375</v>
      </c>
      <c r="G14" s="49">
        <v>20</v>
      </c>
      <c r="H14" s="60">
        <f t="shared" ref="H14:H41" si="0">I14+U14</f>
        <v>274</v>
      </c>
      <c r="I14" s="49">
        <f t="shared" ref="I14:I41" si="1">SUM(J14:T14)</f>
        <v>17</v>
      </c>
      <c r="J14" s="79"/>
      <c r="K14" s="79"/>
      <c r="L14" s="79"/>
      <c r="M14" s="79"/>
      <c r="N14" s="79"/>
      <c r="O14" s="79"/>
      <c r="P14" s="79"/>
      <c r="Q14" s="79"/>
      <c r="R14" s="79"/>
      <c r="S14" s="79">
        <v>17</v>
      </c>
      <c r="T14" s="79"/>
      <c r="U14" s="49">
        <f>X14+AE14</f>
        <v>257</v>
      </c>
      <c r="V14" s="29">
        <f t="shared" ref="V14:V42" si="2">IF(H14,U14/H14,0)</f>
        <v>0.93795620437956206</v>
      </c>
      <c r="W14" s="29">
        <f t="shared" ref="W14:W42" si="3">IF(H14,I14/H14,0)</f>
        <v>6.2043795620437957E-2</v>
      </c>
      <c r="X14" s="61">
        <f t="shared" ref="X14:X41" si="4">SUM(Y14:AD14)</f>
        <v>215</v>
      </c>
      <c r="Y14" s="61"/>
      <c r="Z14" s="61"/>
      <c r="AA14" s="61">
        <v>184</v>
      </c>
      <c r="AB14" s="61">
        <v>31</v>
      </c>
      <c r="AC14" s="61"/>
      <c r="AD14" s="61"/>
      <c r="AE14" s="61">
        <f t="shared" ref="AE14:AE41" si="5">SUM(AF14:BD14)</f>
        <v>42</v>
      </c>
      <c r="AF14" s="39"/>
      <c r="AG14" s="39">
        <v>1</v>
      </c>
      <c r="AH14" s="39"/>
      <c r="AI14" s="39"/>
      <c r="AJ14" s="39"/>
      <c r="AK14" s="39"/>
      <c r="AL14" s="39"/>
      <c r="AM14" s="39">
        <v>1</v>
      </c>
      <c r="AN14" s="39"/>
      <c r="AO14" s="39"/>
      <c r="AP14" s="39"/>
      <c r="AQ14" s="39">
        <v>8</v>
      </c>
      <c r="AR14" s="39"/>
      <c r="AS14" s="39"/>
      <c r="AT14" s="39">
        <v>3</v>
      </c>
      <c r="AU14" s="39"/>
      <c r="AV14" s="39"/>
      <c r="AW14" s="39"/>
      <c r="AX14" s="39"/>
      <c r="AY14" s="39">
        <v>5</v>
      </c>
      <c r="AZ14" s="39">
        <v>1</v>
      </c>
      <c r="BA14" s="39">
        <v>6</v>
      </c>
      <c r="BB14" s="39"/>
      <c r="BC14" s="39">
        <v>17</v>
      </c>
      <c r="BD14" s="39"/>
      <c r="BE14" s="49">
        <f t="shared" ref="BE14:BE41" si="6">I14+AE14</f>
        <v>59</v>
      </c>
    </row>
    <row r="15" spans="1:63" ht="15" customHeight="1" x14ac:dyDescent="0.2">
      <c r="A15" s="36">
        <v>4</v>
      </c>
      <c r="B15" s="59" t="s">
        <v>403</v>
      </c>
      <c r="C15" s="38" t="s">
        <v>163</v>
      </c>
      <c r="D15" s="38">
        <f>VLOOKUP(C15,Planilha1!$J$2:$L$206,3,)</f>
        <v>2</v>
      </c>
      <c r="E15" s="39" t="s">
        <v>162</v>
      </c>
      <c r="F15" s="40">
        <v>78826</v>
      </c>
      <c r="G15" s="49">
        <v>20</v>
      </c>
      <c r="H15" s="60">
        <f t="shared" si="0"/>
        <v>284</v>
      </c>
      <c r="I15" s="49">
        <f t="shared" si="1"/>
        <v>28</v>
      </c>
      <c r="J15" s="79"/>
      <c r="K15" s="79"/>
      <c r="L15" s="79"/>
      <c r="M15" s="79">
        <v>1</v>
      </c>
      <c r="N15" s="79"/>
      <c r="O15" s="79"/>
      <c r="P15" s="79"/>
      <c r="Q15" s="79">
        <v>1</v>
      </c>
      <c r="R15" s="79"/>
      <c r="S15" s="79">
        <v>26</v>
      </c>
      <c r="T15" s="79"/>
      <c r="U15" s="49">
        <f t="shared" ref="U15:U21" si="7">X15+AE15</f>
        <v>256</v>
      </c>
      <c r="V15" s="29">
        <f t="shared" si="2"/>
        <v>0.90140845070422537</v>
      </c>
      <c r="W15" s="29">
        <f t="shared" si="3"/>
        <v>9.8591549295774641E-2</v>
      </c>
      <c r="X15" s="61">
        <f t="shared" si="4"/>
        <v>204</v>
      </c>
      <c r="Y15" s="61"/>
      <c r="Z15" s="61"/>
      <c r="AA15" s="61">
        <v>186</v>
      </c>
      <c r="AB15" s="61">
        <v>16</v>
      </c>
      <c r="AC15" s="61">
        <v>2</v>
      </c>
      <c r="AD15" s="61"/>
      <c r="AE15" s="49">
        <f t="shared" si="5"/>
        <v>52</v>
      </c>
      <c r="AF15" s="39"/>
      <c r="AG15" s="39">
        <v>1</v>
      </c>
      <c r="AH15" s="39"/>
      <c r="AI15" s="39"/>
      <c r="AJ15" s="39"/>
      <c r="AK15" s="39"/>
      <c r="AL15" s="39"/>
      <c r="AM15" s="39">
        <v>4</v>
      </c>
      <c r="AN15" s="39"/>
      <c r="AO15" s="39"/>
      <c r="AP15" s="39"/>
      <c r="AQ15" s="39">
        <v>11</v>
      </c>
      <c r="AR15" s="39"/>
      <c r="AS15" s="39">
        <v>1</v>
      </c>
      <c r="AT15" s="39">
        <v>2</v>
      </c>
      <c r="AU15" s="39"/>
      <c r="AV15" s="39"/>
      <c r="AW15" s="39"/>
      <c r="AX15" s="39"/>
      <c r="AY15" s="39">
        <v>7</v>
      </c>
      <c r="AZ15" s="39">
        <v>3</v>
      </c>
      <c r="BA15" s="39">
        <v>4</v>
      </c>
      <c r="BB15" s="39"/>
      <c r="BC15" s="39">
        <v>19</v>
      </c>
      <c r="BD15" s="39"/>
      <c r="BE15" s="49">
        <f t="shared" si="6"/>
        <v>80</v>
      </c>
    </row>
    <row r="16" spans="1:63" ht="15" customHeight="1" x14ac:dyDescent="0.2">
      <c r="A16" s="36">
        <v>5</v>
      </c>
      <c r="B16" s="59" t="s">
        <v>404</v>
      </c>
      <c r="C16" s="38" t="s">
        <v>164</v>
      </c>
      <c r="D16" s="38">
        <f>VLOOKUP(C16,Planilha1!$J$2:$L$206,3,)</f>
        <v>2</v>
      </c>
      <c r="E16" s="39" t="s">
        <v>165</v>
      </c>
      <c r="F16" s="40">
        <v>120542</v>
      </c>
      <c r="G16" s="49">
        <v>20</v>
      </c>
      <c r="H16" s="60">
        <f t="shared" si="0"/>
        <v>122</v>
      </c>
      <c r="I16" s="49">
        <f t="shared" si="1"/>
        <v>8</v>
      </c>
      <c r="J16" s="79"/>
      <c r="K16" s="79"/>
      <c r="L16" s="79"/>
      <c r="M16" s="79"/>
      <c r="N16" s="79"/>
      <c r="O16" s="79"/>
      <c r="P16" s="79"/>
      <c r="Q16" s="79"/>
      <c r="R16" s="79"/>
      <c r="S16" s="79">
        <v>8</v>
      </c>
      <c r="T16" s="79"/>
      <c r="U16" s="49">
        <f t="shared" si="7"/>
        <v>114</v>
      </c>
      <c r="V16" s="29">
        <f t="shared" si="2"/>
        <v>0.93442622950819676</v>
      </c>
      <c r="W16" s="29">
        <f t="shared" si="3"/>
        <v>6.5573770491803282E-2</v>
      </c>
      <c r="X16" s="61">
        <f t="shared" si="4"/>
        <v>70</v>
      </c>
      <c r="Y16" s="61"/>
      <c r="Z16" s="61"/>
      <c r="AA16" s="61">
        <v>61</v>
      </c>
      <c r="AB16" s="61">
        <v>8</v>
      </c>
      <c r="AC16" s="61">
        <v>1</v>
      </c>
      <c r="AD16" s="61"/>
      <c r="AE16" s="61">
        <f t="shared" si="5"/>
        <v>44</v>
      </c>
      <c r="AF16" s="39"/>
      <c r="AG16" s="39">
        <v>1</v>
      </c>
      <c r="AH16" s="39"/>
      <c r="AI16" s="39"/>
      <c r="AJ16" s="39">
        <v>2</v>
      </c>
      <c r="AK16" s="39"/>
      <c r="AL16" s="39"/>
      <c r="AM16" s="39">
        <v>3</v>
      </c>
      <c r="AN16" s="39"/>
      <c r="AO16" s="39"/>
      <c r="AP16" s="39"/>
      <c r="AQ16" s="39">
        <v>13</v>
      </c>
      <c r="AR16" s="39"/>
      <c r="AS16" s="39"/>
      <c r="AT16" s="39">
        <v>3</v>
      </c>
      <c r="AU16" s="39"/>
      <c r="AV16" s="39"/>
      <c r="AW16" s="39"/>
      <c r="AX16" s="39"/>
      <c r="AY16" s="39">
        <v>12</v>
      </c>
      <c r="AZ16" s="39"/>
      <c r="BA16" s="39">
        <v>3</v>
      </c>
      <c r="BB16" s="39"/>
      <c r="BC16" s="39">
        <v>7</v>
      </c>
      <c r="BD16" s="39"/>
      <c r="BE16" s="49">
        <f t="shared" si="6"/>
        <v>52</v>
      </c>
    </row>
    <row r="17" spans="1:57" ht="15" customHeight="1" x14ac:dyDescent="0.2">
      <c r="A17" s="36">
        <v>6</v>
      </c>
      <c r="B17" s="59" t="s">
        <v>404</v>
      </c>
      <c r="C17" s="38" t="s">
        <v>166</v>
      </c>
      <c r="D17" s="38">
        <f>VLOOKUP(C17,Planilha1!$J$2:$L$206,3,)</f>
        <v>2</v>
      </c>
      <c r="E17" s="39" t="s">
        <v>165</v>
      </c>
      <c r="F17" s="40">
        <v>154755</v>
      </c>
      <c r="G17" s="49">
        <v>20</v>
      </c>
      <c r="H17" s="60">
        <f t="shared" si="0"/>
        <v>105</v>
      </c>
      <c r="I17" s="49">
        <f t="shared" si="1"/>
        <v>34</v>
      </c>
      <c r="J17" s="79"/>
      <c r="K17" s="79"/>
      <c r="L17" s="79">
        <v>2</v>
      </c>
      <c r="M17" s="79"/>
      <c r="N17" s="79"/>
      <c r="O17" s="79"/>
      <c r="P17" s="79">
        <v>4</v>
      </c>
      <c r="Q17" s="79">
        <v>13</v>
      </c>
      <c r="R17" s="79"/>
      <c r="S17" s="79"/>
      <c r="T17" s="79">
        <v>15</v>
      </c>
      <c r="U17" s="49">
        <f t="shared" si="7"/>
        <v>71</v>
      </c>
      <c r="V17" s="29">
        <f t="shared" si="2"/>
        <v>0.67619047619047623</v>
      </c>
      <c r="W17" s="29">
        <f t="shared" si="3"/>
        <v>0.32380952380952382</v>
      </c>
      <c r="X17" s="61">
        <f t="shared" si="4"/>
        <v>39</v>
      </c>
      <c r="Y17" s="61"/>
      <c r="Z17" s="61"/>
      <c r="AA17" s="61">
        <v>31</v>
      </c>
      <c r="AB17" s="61">
        <v>5</v>
      </c>
      <c r="AC17" s="61">
        <v>3</v>
      </c>
      <c r="AD17" s="61"/>
      <c r="AE17" s="49">
        <f t="shared" si="5"/>
        <v>32</v>
      </c>
      <c r="AF17" s="39"/>
      <c r="AG17" s="39"/>
      <c r="AH17" s="39"/>
      <c r="AI17" s="39"/>
      <c r="AJ17" s="39">
        <v>2</v>
      </c>
      <c r="AK17" s="39"/>
      <c r="AL17" s="39"/>
      <c r="AM17" s="39"/>
      <c r="AN17" s="39"/>
      <c r="AO17" s="39"/>
      <c r="AP17" s="39"/>
      <c r="AQ17" s="39">
        <v>8</v>
      </c>
      <c r="AR17" s="39"/>
      <c r="AS17" s="39"/>
      <c r="AT17" s="39">
        <v>3</v>
      </c>
      <c r="AU17" s="39"/>
      <c r="AV17" s="39"/>
      <c r="AW17" s="39"/>
      <c r="AX17" s="39"/>
      <c r="AY17" s="39">
        <v>5</v>
      </c>
      <c r="AZ17" s="39">
        <v>9</v>
      </c>
      <c r="BA17" s="39">
        <v>1</v>
      </c>
      <c r="BB17" s="39"/>
      <c r="BC17" s="39">
        <v>4</v>
      </c>
      <c r="BD17" s="39"/>
      <c r="BE17" s="49">
        <f t="shared" si="6"/>
        <v>66</v>
      </c>
    </row>
    <row r="18" spans="1:57" ht="15" customHeight="1" x14ac:dyDescent="0.2">
      <c r="A18" s="36">
        <v>7</v>
      </c>
      <c r="B18" s="59" t="s">
        <v>405</v>
      </c>
      <c r="C18" s="38" t="s">
        <v>167</v>
      </c>
      <c r="D18" s="38">
        <f>VLOOKUP(C18,Planilha1!$J$2:$L$206,3,)</f>
        <v>2</v>
      </c>
      <c r="E18" s="39" t="s">
        <v>168</v>
      </c>
      <c r="F18" s="40">
        <v>135125</v>
      </c>
      <c r="G18" s="49">
        <v>20</v>
      </c>
      <c r="H18" s="60">
        <f t="shared" si="0"/>
        <v>78</v>
      </c>
      <c r="I18" s="49">
        <f t="shared" si="1"/>
        <v>3</v>
      </c>
      <c r="J18" s="79"/>
      <c r="K18" s="79"/>
      <c r="L18" s="79"/>
      <c r="M18" s="79"/>
      <c r="N18" s="79"/>
      <c r="O18" s="79"/>
      <c r="P18" s="79"/>
      <c r="Q18" s="79"/>
      <c r="R18" s="79"/>
      <c r="S18" s="79">
        <v>3</v>
      </c>
      <c r="T18" s="79"/>
      <c r="U18" s="49">
        <f t="shared" si="7"/>
        <v>75</v>
      </c>
      <c r="V18" s="29">
        <f t="shared" si="2"/>
        <v>0.96153846153846156</v>
      </c>
      <c r="W18" s="29">
        <f t="shared" si="3"/>
        <v>3.8461538461538464E-2</v>
      </c>
      <c r="X18" s="61">
        <f t="shared" si="4"/>
        <v>33</v>
      </c>
      <c r="Y18" s="61"/>
      <c r="Z18" s="61"/>
      <c r="AA18" s="61">
        <v>26</v>
      </c>
      <c r="AB18" s="61">
        <v>6</v>
      </c>
      <c r="AC18" s="61">
        <v>1</v>
      </c>
      <c r="AD18" s="61"/>
      <c r="AE18" s="61">
        <f t="shared" si="5"/>
        <v>42</v>
      </c>
      <c r="AF18" s="39"/>
      <c r="AG18" s="39"/>
      <c r="AH18" s="39"/>
      <c r="AI18" s="39">
        <v>1</v>
      </c>
      <c r="AJ18" s="39">
        <v>1</v>
      </c>
      <c r="AK18" s="39"/>
      <c r="AL18" s="39"/>
      <c r="AM18" s="39">
        <v>2</v>
      </c>
      <c r="AN18" s="39"/>
      <c r="AO18" s="39"/>
      <c r="AP18" s="39"/>
      <c r="AQ18" s="39">
        <v>14</v>
      </c>
      <c r="AR18" s="39"/>
      <c r="AS18" s="39"/>
      <c r="AT18" s="39">
        <v>2</v>
      </c>
      <c r="AU18" s="39"/>
      <c r="AV18" s="39"/>
      <c r="AW18" s="39"/>
      <c r="AX18" s="39"/>
      <c r="AY18" s="39">
        <v>10</v>
      </c>
      <c r="AZ18" s="39"/>
      <c r="BA18" s="39">
        <v>5</v>
      </c>
      <c r="BB18" s="39"/>
      <c r="BC18" s="39">
        <v>7</v>
      </c>
      <c r="BD18" s="39"/>
      <c r="BE18" s="49">
        <f t="shared" si="6"/>
        <v>45</v>
      </c>
    </row>
    <row r="19" spans="1:57" ht="15" customHeight="1" x14ac:dyDescent="0.2">
      <c r="A19" s="36">
        <v>8</v>
      </c>
      <c r="B19" s="59" t="s">
        <v>405</v>
      </c>
      <c r="C19" s="38" t="s">
        <v>169</v>
      </c>
      <c r="D19" s="38">
        <f>VLOOKUP(C19,Planilha1!$J$2:$L$206,3,)</f>
        <v>2</v>
      </c>
      <c r="E19" s="39" t="s">
        <v>168</v>
      </c>
      <c r="F19" s="40">
        <v>188632</v>
      </c>
      <c r="G19" s="49">
        <v>20</v>
      </c>
      <c r="H19" s="60">
        <f t="shared" si="0"/>
        <v>99</v>
      </c>
      <c r="I19" s="49">
        <f t="shared" si="1"/>
        <v>11</v>
      </c>
      <c r="J19" s="79"/>
      <c r="K19" s="79"/>
      <c r="L19" s="79">
        <v>1</v>
      </c>
      <c r="M19" s="79"/>
      <c r="N19" s="79"/>
      <c r="O19" s="79"/>
      <c r="P19" s="79">
        <v>1</v>
      </c>
      <c r="Q19" s="79">
        <v>4</v>
      </c>
      <c r="R19" s="79"/>
      <c r="S19" s="79">
        <v>2</v>
      </c>
      <c r="T19" s="79">
        <v>3</v>
      </c>
      <c r="U19" s="49">
        <f t="shared" si="7"/>
        <v>88</v>
      </c>
      <c r="V19" s="29">
        <f t="shared" si="2"/>
        <v>0.88888888888888884</v>
      </c>
      <c r="W19" s="29">
        <f t="shared" si="3"/>
        <v>0.1111111111111111</v>
      </c>
      <c r="X19" s="61">
        <f t="shared" si="4"/>
        <v>34</v>
      </c>
      <c r="Y19" s="61"/>
      <c r="Z19" s="61"/>
      <c r="AA19" s="61">
        <v>29</v>
      </c>
      <c r="AB19" s="61">
        <v>5</v>
      </c>
      <c r="AC19" s="61"/>
      <c r="AD19" s="61"/>
      <c r="AE19" s="49">
        <f t="shared" si="5"/>
        <v>54</v>
      </c>
      <c r="AF19" s="39"/>
      <c r="AG19" s="39"/>
      <c r="AH19" s="39"/>
      <c r="AI19" s="39"/>
      <c r="AJ19" s="39"/>
      <c r="AK19" s="39"/>
      <c r="AL19" s="39"/>
      <c r="AM19" s="39">
        <v>7</v>
      </c>
      <c r="AN19" s="39"/>
      <c r="AO19" s="39"/>
      <c r="AP19" s="39"/>
      <c r="AQ19" s="39">
        <v>11</v>
      </c>
      <c r="AR19" s="39"/>
      <c r="AS19" s="39"/>
      <c r="AT19" s="39">
        <v>2</v>
      </c>
      <c r="AU19" s="39"/>
      <c r="AV19" s="39"/>
      <c r="AW19" s="39"/>
      <c r="AX19" s="39"/>
      <c r="AY19" s="39">
        <v>10</v>
      </c>
      <c r="AZ19" s="39">
        <v>8</v>
      </c>
      <c r="BA19" s="39">
        <v>7</v>
      </c>
      <c r="BB19" s="39"/>
      <c r="BC19" s="39">
        <v>9</v>
      </c>
      <c r="BD19" s="39"/>
      <c r="BE19" s="49">
        <f t="shared" si="6"/>
        <v>65</v>
      </c>
    </row>
    <row r="20" spans="1:57" ht="15" customHeight="1" x14ac:dyDescent="0.2">
      <c r="A20" s="36">
        <v>9</v>
      </c>
      <c r="B20" s="59" t="s">
        <v>77</v>
      </c>
      <c r="C20" s="38" t="s">
        <v>73</v>
      </c>
      <c r="D20" s="38">
        <f>VLOOKUP(C20,Planilha1!$J$2:$L$206,3,)</f>
        <v>2</v>
      </c>
      <c r="E20" s="39" t="s">
        <v>71</v>
      </c>
      <c r="F20" s="40">
        <v>205870</v>
      </c>
      <c r="G20" s="49">
        <v>30</v>
      </c>
      <c r="H20" s="60">
        <f t="shared" si="0"/>
        <v>262</v>
      </c>
      <c r="I20" s="49">
        <f t="shared" si="1"/>
        <v>9</v>
      </c>
      <c r="J20" s="79"/>
      <c r="K20" s="79"/>
      <c r="L20" s="79"/>
      <c r="M20" s="79"/>
      <c r="N20" s="79"/>
      <c r="O20" s="79">
        <v>2</v>
      </c>
      <c r="P20" s="79">
        <v>1</v>
      </c>
      <c r="Q20" s="79">
        <v>4</v>
      </c>
      <c r="R20" s="79">
        <v>2</v>
      </c>
      <c r="S20" s="79"/>
      <c r="T20" s="79"/>
      <c r="U20" s="49">
        <f t="shared" si="7"/>
        <v>253</v>
      </c>
      <c r="V20" s="29">
        <f t="shared" si="2"/>
        <v>0.96564885496183206</v>
      </c>
      <c r="W20" s="29">
        <f t="shared" si="3"/>
        <v>3.4351145038167941E-2</v>
      </c>
      <c r="X20" s="61">
        <f t="shared" si="4"/>
        <v>134</v>
      </c>
      <c r="Y20" s="61"/>
      <c r="Z20" s="61"/>
      <c r="AA20" s="61">
        <v>97</v>
      </c>
      <c r="AB20" s="61">
        <v>28</v>
      </c>
      <c r="AC20" s="61">
        <v>9</v>
      </c>
      <c r="AD20" s="61"/>
      <c r="AE20" s="61">
        <f t="shared" si="5"/>
        <v>119</v>
      </c>
      <c r="AF20" s="39"/>
      <c r="AG20" s="39"/>
      <c r="AH20" s="39"/>
      <c r="AI20" s="39"/>
      <c r="AJ20" s="39"/>
      <c r="AK20" s="39"/>
      <c r="AL20" s="39"/>
      <c r="AM20" s="39">
        <v>1</v>
      </c>
      <c r="AN20" s="39">
        <v>1</v>
      </c>
      <c r="AO20" s="39"/>
      <c r="AP20" s="39"/>
      <c r="AQ20" s="39">
        <v>23</v>
      </c>
      <c r="AR20" s="39"/>
      <c r="AS20" s="39"/>
      <c r="AT20" s="39">
        <v>3</v>
      </c>
      <c r="AU20" s="39"/>
      <c r="AV20" s="39"/>
      <c r="AW20" s="39"/>
      <c r="AX20" s="39"/>
      <c r="AY20" s="39">
        <v>47</v>
      </c>
      <c r="AZ20" s="39">
        <v>5</v>
      </c>
      <c r="BA20" s="39">
        <v>20</v>
      </c>
      <c r="BB20" s="39">
        <v>1</v>
      </c>
      <c r="BC20" s="39">
        <v>18</v>
      </c>
      <c r="BD20" s="39"/>
      <c r="BE20" s="49">
        <f t="shared" si="6"/>
        <v>128</v>
      </c>
    </row>
    <row r="21" spans="1:57" ht="15" customHeight="1" x14ac:dyDescent="0.2">
      <c r="A21" s="36">
        <v>10</v>
      </c>
      <c r="B21" s="59" t="s">
        <v>77</v>
      </c>
      <c r="C21" s="38" t="s">
        <v>74</v>
      </c>
      <c r="D21" s="38">
        <f>VLOOKUP(C21,Planilha1!$J$2:$L$206,3,)</f>
        <v>2</v>
      </c>
      <c r="E21" s="39" t="s">
        <v>71</v>
      </c>
      <c r="F21" s="40">
        <v>69380</v>
      </c>
      <c r="G21" s="49">
        <v>30</v>
      </c>
      <c r="H21" s="60">
        <f t="shared" si="0"/>
        <v>80</v>
      </c>
      <c r="I21" s="49">
        <f t="shared" si="1"/>
        <v>4</v>
      </c>
      <c r="J21" s="79"/>
      <c r="K21" s="79"/>
      <c r="L21" s="79"/>
      <c r="M21" s="79"/>
      <c r="N21" s="79"/>
      <c r="O21" s="79">
        <v>1</v>
      </c>
      <c r="P21" s="79"/>
      <c r="Q21" s="79">
        <v>1</v>
      </c>
      <c r="R21" s="79"/>
      <c r="S21" s="79"/>
      <c r="T21" s="79">
        <v>2</v>
      </c>
      <c r="U21" s="49">
        <f t="shared" si="7"/>
        <v>76</v>
      </c>
      <c r="V21" s="29">
        <f t="shared" si="2"/>
        <v>0.95</v>
      </c>
      <c r="W21" s="29">
        <f t="shared" si="3"/>
        <v>0.05</v>
      </c>
      <c r="X21" s="61">
        <f t="shared" si="4"/>
        <v>37</v>
      </c>
      <c r="Y21" s="61"/>
      <c r="Z21" s="61"/>
      <c r="AA21" s="61">
        <v>25</v>
      </c>
      <c r="AB21" s="61">
        <v>10</v>
      </c>
      <c r="AC21" s="61">
        <v>2</v>
      </c>
      <c r="AD21" s="61"/>
      <c r="AE21" s="49">
        <f t="shared" si="5"/>
        <v>39</v>
      </c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>
        <v>3</v>
      </c>
      <c r="AR21" s="39"/>
      <c r="AS21" s="39"/>
      <c r="AT21" s="39">
        <v>1</v>
      </c>
      <c r="AU21" s="39"/>
      <c r="AV21" s="39"/>
      <c r="AW21" s="39"/>
      <c r="AX21" s="39"/>
      <c r="AY21" s="39">
        <v>7</v>
      </c>
      <c r="AZ21" s="39">
        <v>2</v>
      </c>
      <c r="BA21" s="39"/>
      <c r="BB21" s="39"/>
      <c r="BC21" s="39">
        <v>26</v>
      </c>
      <c r="BD21" s="39"/>
      <c r="BE21" s="49">
        <f t="shared" si="6"/>
        <v>43</v>
      </c>
    </row>
    <row r="22" spans="1:57" ht="15" hidden="1" customHeight="1" x14ac:dyDescent="0.2">
      <c r="A22" s="36">
        <v>11</v>
      </c>
      <c r="B22" s="59"/>
      <c r="C22" s="38"/>
      <c r="D22" s="38" t="e">
        <f>VLOOKUP(C22,Planilha1!$J$2:$L$206,3,)</f>
        <v>#N/A</v>
      </c>
      <c r="E22" s="39"/>
      <c r="F22" s="40"/>
      <c r="G22" s="49"/>
      <c r="H22" s="60">
        <f t="shared" si="0"/>
        <v>0</v>
      </c>
      <c r="I22" s="49">
        <f t="shared" si="1"/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49">
        <f>X22+AE22</f>
        <v>0</v>
      </c>
      <c r="V22" s="29">
        <f t="shared" si="2"/>
        <v>0</v>
      </c>
      <c r="W22" s="29">
        <f t="shared" si="3"/>
        <v>0</v>
      </c>
      <c r="X22" s="61">
        <f t="shared" si="4"/>
        <v>0</v>
      </c>
      <c r="Y22" s="61"/>
      <c r="Z22" s="61"/>
      <c r="AA22" s="61"/>
      <c r="AB22" s="61"/>
      <c r="AC22" s="61"/>
      <c r="AD22" s="61"/>
      <c r="AE22" s="61">
        <f t="shared" si="5"/>
        <v>0</v>
      </c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49">
        <f t="shared" si="6"/>
        <v>0</v>
      </c>
    </row>
    <row r="23" spans="1:57" ht="15" hidden="1" customHeight="1" x14ac:dyDescent="0.2">
      <c r="A23" s="36">
        <v>12</v>
      </c>
      <c r="B23" s="59"/>
      <c r="C23" s="38"/>
      <c r="D23" s="38" t="e">
        <f>VLOOKUP(C23,Planilha1!$J$2:$L$206,3,)</f>
        <v>#N/A</v>
      </c>
      <c r="E23" s="39"/>
      <c r="F23" s="40"/>
      <c r="G23" s="49"/>
      <c r="H23" s="60">
        <f t="shared" si="0"/>
        <v>0</v>
      </c>
      <c r="I23" s="49">
        <f t="shared" si="1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49">
        <f>X23+AE23</f>
        <v>0</v>
      </c>
      <c r="V23" s="29">
        <f t="shared" si="2"/>
        <v>0</v>
      </c>
      <c r="W23" s="29">
        <f t="shared" si="3"/>
        <v>0</v>
      </c>
      <c r="X23" s="61">
        <f t="shared" si="4"/>
        <v>0</v>
      </c>
      <c r="Y23" s="61"/>
      <c r="Z23" s="61"/>
      <c r="AA23" s="61"/>
      <c r="AB23" s="61"/>
      <c r="AC23" s="61"/>
      <c r="AD23" s="61"/>
      <c r="AE23" s="49">
        <f t="shared" si="5"/>
        <v>0</v>
      </c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49">
        <f t="shared" si="6"/>
        <v>0</v>
      </c>
    </row>
    <row r="24" spans="1:57" ht="15" hidden="1" customHeight="1" x14ac:dyDescent="0.2">
      <c r="A24" s="36">
        <v>13</v>
      </c>
      <c r="B24" s="59"/>
      <c r="C24" s="38"/>
      <c r="D24" s="38" t="e">
        <f>VLOOKUP(C24,Planilha1!$J$2:$L$206,3,)</f>
        <v>#N/A</v>
      </c>
      <c r="E24" s="39"/>
      <c r="F24" s="40"/>
      <c r="G24" s="49"/>
      <c r="H24" s="60">
        <f t="shared" si="0"/>
        <v>0</v>
      </c>
      <c r="I24" s="49">
        <f t="shared" si="1"/>
        <v>0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49">
        <f>X24+AE24</f>
        <v>0</v>
      </c>
      <c r="V24" s="29">
        <f t="shared" si="2"/>
        <v>0</v>
      </c>
      <c r="W24" s="29">
        <f t="shared" si="3"/>
        <v>0</v>
      </c>
      <c r="X24" s="61">
        <f t="shared" si="4"/>
        <v>0</v>
      </c>
      <c r="Y24" s="61"/>
      <c r="Z24" s="61"/>
      <c r="AA24" s="61"/>
      <c r="AB24" s="61"/>
      <c r="AC24" s="61"/>
      <c r="AD24" s="61"/>
      <c r="AE24" s="61">
        <f t="shared" si="5"/>
        <v>0</v>
      </c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49">
        <f t="shared" si="6"/>
        <v>0</v>
      </c>
    </row>
    <row r="25" spans="1:57" ht="15" hidden="1" customHeight="1" x14ac:dyDescent="0.2">
      <c r="A25" s="36">
        <v>14</v>
      </c>
      <c r="B25" s="59"/>
      <c r="C25" s="38"/>
      <c r="D25" s="38" t="e">
        <f>VLOOKUP(C25,Planilha1!$J$2:$L$206,3,)</f>
        <v>#N/A</v>
      </c>
      <c r="E25" s="39"/>
      <c r="F25" s="40"/>
      <c r="G25" s="49"/>
      <c r="H25" s="60">
        <f t="shared" si="0"/>
        <v>0</v>
      </c>
      <c r="I25" s="49">
        <f t="shared" si="1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49">
        <f>X25+AE25</f>
        <v>0</v>
      </c>
      <c r="V25" s="29">
        <f t="shared" si="2"/>
        <v>0</v>
      </c>
      <c r="W25" s="29">
        <f t="shared" si="3"/>
        <v>0</v>
      </c>
      <c r="X25" s="61">
        <f t="shared" si="4"/>
        <v>0</v>
      </c>
      <c r="Y25" s="61"/>
      <c r="Z25" s="61"/>
      <c r="AA25" s="61"/>
      <c r="AB25" s="61"/>
      <c r="AC25" s="61"/>
      <c r="AD25" s="61"/>
      <c r="AE25" s="49">
        <f t="shared" si="5"/>
        <v>0</v>
      </c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49">
        <f t="shared" si="6"/>
        <v>0</v>
      </c>
    </row>
    <row r="26" spans="1:57" ht="15" hidden="1" customHeight="1" x14ac:dyDescent="0.2">
      <c r="A26" s="36">
        <v>15</v>
      </c>
      <c r="B26" s="59"/>
      <c r="C26" s="38"/>
      <c r="D26" s="38" t="e">
        <f>VLOOKUP(C26,Planilha1!$J$2:$L$206,3,)</f>
        <v>#N/A</v>
      </c>
      <c r="E26" s="39"/>
      <c r="F26" s="40"/>
      <c r="G26" s="49"/>
      <c r="H26" s="60">
        <f t="shared" si="0"/>
        <v>0</v>
      </c>
      <c r="I26" s="49">
        <f t="shared" si="1"/>
        <v>0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49">
        <f t="shared" ref="U26:U41" si="8">X26+AE26</f>
        <v>0</v>
      </c>
      <c r="V26" s="29">
        <f t="shared" si="2"/>
        <v>0</v>
      </c>
      <c r="W26" s="29">
        <f t="shared" si="3"/>
        <v>0</v>
      </c>
      <c r="X26" s="61">
        <f t="shared" si="4"/>
        <v>0</v>
      </c>
      <c r="Y26" s="61"/>
      <c r="Z26" s="61"/>
      <c r="AA26" s="61"/>
      <c r="AB26" s="61"/>
      <c r="AC26" s="61"/>
      <c r="AD26" s="61"/>
      <c r="AE26" s="49">
        <f t="shared" si="5"/>
        <v>0</v>
      </c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49">
        <f t="shared" si="6"/>
        <v>0</v>
      </c>
    </row>
    <row r="27" spans="1:57" ht="15" hidden="1" customHeight="1" x14ac:dyDescent="0.2">
      <c r="A27" s="36">
        <v>16</v>
      </c>
      <c r="B27" s="59"/>
      <c r="C27" s="38"/>
      <c r="D27" s="38" t="e">
        <f>VLOOKUP(C27,Planilha1!$J$2:$L$206,3,)</f>
        <v>#N/A</v>
      </c>
      <c r="E27" s="39"/>
      <c r="F27" s="40"/>
      <c r="G27" s="49"/>
      <c r="H27" s="60">
        <f t="shared" si="0"/>
        <v>0</v>
      </c>
      <c r="I27" s="49">
        <f t="shared" si="1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49">
        <f>X27+AE27</f>
        <v>0</v>
      </c>
      <c r="V27" s="29">
        <f t="shared" si="2"/>
        <v>0</v>
      </c>
      <c r="W27" s="29">
        <f t="shared" si="3"/>
        <v>0</v>
      </c>
      <c r="X27" s="61">
        <f t="shared" si="4"/>
        <v>0</v>
      </c>
      <c r="Y27" s="61"/>
      <c r="Z27" s="61"/>
      <c r="AA27" s="61"/>
      <c r="AB27" s="61"/>
      <c r="AC27" s="61"/>
      <c r="AD27" s="61"/>
      <c r="AE27" s="49">
        <f t="shared" si="5"/>
        <v>0</v>
      </c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49">
        <f t="shared" si="6"/>
        <v>0</v>
      </c>
    </row>
    <row r="28" spans="1:57" ht="15" hidden="1" customHeight="1" x14ac:dyDescent="0.2">
      <c r="A28" s="36">
        <v>17</v>
      </c>
      <c r="B28" s="59"/>
      <c r="C28" s="38"/>
      <c r="D28" s="38" t="e">
        <f>VLOOKUP(C28,Planilha1!$J$2:$L$206,3,)</f>
        <v>#N/A</v>
      </c>
      <c r="E28" s="39"/>
      <c r="F28" s="40"/>
      <c r="G28" s="49"/>
      <c r="H28" s="60">
        <f t="shared" si="0"/>
        <v>0</v>
      </c>
      <c r="I28" s="49">
        <f t="shared" si="1"/>
        <v>0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49">
        <f t="shared" si="8"/>
        <v>0</v>
      </c>
      <c r="V28" s="29">
        <f t="shared" si="2"/>
        <v>0</v>
      </c>
      <c r="W28" s="29">
        <f t="shared" si="3"/>
        <v>0</v>
      </c>
      <c r="X28" s="61">
        <f t="shared" si="4"/>
        <v>0</v>
      </c>
      <c r="Y28" s="61"/>
      <c r="Z28" s="61"/>
      <c r="AA28" s="61"/>
      <c r="AB28" s="61"/>
      <c r="AC28" s="61"/>
      <c r="AD28" s="61"/>
      <c r="AE28" s="49">
        <f t="shared" si="5"/>
        <v>0</v>
      </c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49">
        <f t="shared" si="6"/>
        <v>0</v>
      </c>
    </row>
    <row r="29" spans="1:57" ht="15" hidden="1" customHeight="1" x14ac:dyDescent="0.2">
      <c r="A29" s="36">
        <v>18</v>
      </c>
      <c r="B29" s="59"/>
      <c r="C29" s="38"/>
      <c r="D29" s="38" t="e">
        <f>VLOOKUP(C29,Planilha1!$J$2:$L$206,3,)</f>
        <v>#N/A</v>
      </c>
      <c r="E29" s="39"/>
      <c r="F29" s="40"/>
      <c r="G29" s="49"/>
      <c r="H29" s="60">
        <f t="shared" si="0"/>
        <v>0</v>
      </c>
      <c r="I29" s="49">
        <f t="shared" si="1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49">
        <f t="shared" si="8"/>
        <v>0</v>
      </c>
      <c r="V29" s="29">
        <f t="shared" si="2"/>
        <v>0</v>
      </c>
      <c r="W29" s="29">
        <f t="shared" si="3"/>
        <v>0</v>
      </c>
      <c r="X29" s="61">
        <f t="shared" si="4"/>
        <v>0</v>
      </c>
      <c r="Y29" s="61"/>
      <c r="Z29" s="61"/>
      <c r="AA29" s="61"/>
      <c r="AB29" s="61"/>
      <c r="AC29" s="61"/>
      <c r="AD29" s="61"/>
      <c r="AE29" s="49">
        <f t="shared" si="5"/>
        <v>0</v>
      </c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49">
        <f t="shared" si="6"/>
        <v>0</v>
      </c>
    </row>
    <row r="30" spans="1:57" ht="15" hidden="1" customHeight="1" x14ac:dyDescent="0.2">
      <c r="A30" s="36">
        <v>19</v>
      </c>
      <c r="B30" s="59"/>
      <c r="C30" s="38"/>
      <c r="D30" s="38" t="e">
        <f>VLOOKUP(C30,Planilha1!$J$2:$L$206,3,)</f>
        <v>#N/A</v>
      </c>
      <c r="E30" s="39"/>
      <c r="F30" s="40"/>
      <c r="G30" s="49"/>
      <c r="H30" s="60">
        <f t="shared" si="0"/>
        <v>0</v>
      </c>
      <c r="I30" s="49">
        <f t="shared" si="1"/>
        <v>0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49">
        <f t="shared" si="8"/>
        <v>0</v>
      </c>
      <c r="V30" s="29">
        <f t="shared" si="2"/>
        <v>0</v>
      </c>
      <c r="W30" s="29">
        <f t="shared" si="3"/>
        <v>0</v>
      </c>
      <c r="X30" s="61">
        <f t="shared" si="4"/>
        <v>0</v>
      </c>
      <c r="Y30" s="61"/>
      <c r="Z30" s="61"/>
      <c r="AA30" s="61"/>
      <c r="AB30" s="61"/>
      <c r="AC30" s="61"/>
      <c r="AD30" s="61"/>
      <c r="AE30" s="49">
        <f t="shared" si="5"/>
        <v>0</v>
      </c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49">
        <f t="shared" si="6"/>
        <v>0</v>
      </c>
    </row>
    <row r="31" spans="1:57" ht="15" hidden="1" customHeight="1" x14ac:dyDescent="0.2">
      <c r="A31" s="36">
        <v>20</v>
      </c>
      <c r="B31" s="59"/>
      <c r="C31" s="38"/>
      <c r="D31" s="38" t="e">
        <f>VLOOKUP(C31,Planilha1!$J$2:$L$206,3,)</f>
        <v>#N/A</v>
      </c>
      <c r="E31" s="39"/>
      <c r="F31" s="40"/>
      <c r="G31" s="49"/>
      <c r="H31" s="60">
        <f t="shared" si="0"/>
        <v>0</v>
      </c>
      <c r="I31" s="49">
        <f t="shared" si="1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49">
        <f t="shared" si="8"/>
        <v>0</v>
      </c>
      <c r="V31" s="29">
        <f t="shared" si="2"/>
        <v>0</v>
      </c>
      <c r="W31" s="29">
        <f t="shared" si="3"/>
        <v>0</v>
      </c>
      <c r="X31" s="61">
        <f t="shared" si="4"/>
        <v>0</v>
      </c>
      <c r="Y31" s="61"/>
      <c r="Z31" s="61"/>
      <c r="AA31" s="61"/>
      <c r="AB31" s="61"/>
      <c r="AC31" s="61"/>
      <c r="AD31" s="61"/>
      <c r="AE31" s="49">
        <f t="shared" si="5"/>
        <v>0</v>
      </c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49">
        <f t="shared" si="6"/>
        <v>0</v>
      </c>
    </row>
    <row r="32" spans="1:57" ht="15" hidden="1" customHeight="1" x14ac:dyDescent="0.2">
      <c r="A32" s="36">
        <v>21</v>
      </c>
      <c r="B32" s="59"/>
      <c r="C32" s="38"/>
      <c r="D32" s="38" t="e">
        <f>VLOOKUP(C32,Planilha1!$J$2:$L$206,3,)</f>
        <v>#N/A</v>
      </c>
      <c r="E32" s="39"/>
      <c r="F32" s="40"/>
      <c r="G32" s="49"/>
      <c r="H32" s="60">
        <f t="shared" si="0"/>
        <v>0</v>
      </c>
      <c r="I32" s="49">
        <f t="shared" si="1"/>
        <v>0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49">
        <f t="shared" si="8"/>
        <v>0</v>
      </c>
      <c r="V32" s="29">
        <f t="shared" si="2"/>
        <v>0</v>
      </c>
      <c r="W32" s="29">
        <f t="shared" si="3"/>
        <v>0</v>
      </c>
      <c r="X32" s="61">
        <f t="shared" si="4"/>
        <v>0</v>
      </c>
      <c r="Y32" s="61"/>
      <c r="Z32" s="61"/>
      <c r="AA32" s="61"/>
      <c r="AB32" s="61"/>
      <c r="AC32" s="61"/>
      <c r="AD32" s="61"/>
      <c r="AE32" s="49">
        <f t="shared" si="5"/>
        <v>0</v>
      </c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49">
        <f t="shared" si="6"/>
        <v>0</v>
      </c>
    </row>
    <row r="33" spans="1:57" ht="15" hidden="1" customHeight="1" x14ac:dyDescent="0.2">
      <c r="A33" s="36">
        <v>22</v>
      </c>
      <c r="B33" s="59"/>
      <c r="C33" s="38"/>
      <c r="D33" s="38" t="e">
        <f>VLOOKUP(C33,Planilha1!$J$2:$L$206,3,)</f>
        <v>#N/A</v>
      </c>
      <c r="E33" s="39"/>
      <c r="F33" s="40"/>
      <c r="G33" s="49"/>
      <c r="H33" s="60">
        <f t="shared" si="0"/>
        <v>0</v>
      </c>
      <c r="I33" s="49">
        <f t="shared" si="1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49">
        <f t="shared" si="8"/>
        <v>0</v>
      </c>
      <c r="V33" s="29">
        <f t="shared" si="2"/>
        <v>0</v>
      </c>
      <c r="W33" s="29">
        <f t="shared" si="3"/>
        <v>0</v>
      </c>
      <c r="X33" s="61">
        <f t="shared" si="4"/>
        <v>0</v>
      </c>
      <c r="Y33" s="61"/>
      <c r="Z33" s="61"/>
      <c r="AA33" s="61"/>
      <c r="AB33" s="61"/>
      <c r="AC33" s="61"/>
      <c r="AD33" s="61"/>
      <c r="AE33" s="49">
        <f t="shared" si="5"/>
        <v>0</v>
      </c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49">
        <f t="shared" si="6"/>
        <v>0</v>
      </c>
    </row>
    <row r="34" spans="1:57" ht="15" hidden="1" customHeight="1" x14ac:dyDescent="0.2">
      <c r="A34" s="36">
        <v>23</v>
      </c>
      <c r="B34" s="59"/>
      <c r="C34" s="38"/>
      <c r="D34" s="38" t="e">
        <f>VLOOKUP(C34,Planilha1!$J$2:$L$206,3,)</f>
        <v>#N/A</v>
      </c>
      <c r="E34" s="39"/>
      <c r="F34" s="40"/>
      <c r="G34" s="49"/>
      <c r="H34" s="60">
        <f t="shared" si="0"/>
        <v>0</v>
      </c>
      <c r="I34" s="49">
        <f t="shared" si="1"/>
        <v>0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49">
        <f t="shared" si="8"/>
        <v>0</v>
      </c>
      <c r="V34" s="29">
        <f t="shared" si="2"/>
        <v>0</v>
      </c>
      <c r="W34" s="29">
        <f t="shared" si="3"/>
        <v>0</v>
      </c>
      <c r="X34" s="61">
        <f t="shared" si="4"/>
        <v>0</v>
      </c>
      <c r="Y34" s="61"/>
      <c r="Z34" s="61"/>
      <c r="AA34" s="61"/>
      <c r="AB34" s="61"/>
      <c r="AC34" s="61"/>
      <c r="AD34" s="61"/>
      <c r="AE34" s="49">
        <f t="shared" si="5"/>
        <v>0</v>
      </c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49">
        <f t="shared" si="6"/>
        <v>0</v>
      </c>
    </row>
    <row r="35" spans="1:57" ht="15" hidden="1" customHeight="1" x14ac:dyDescent="0.2">
      <c r="A35" s="36">
        <v>24</v>
      </c>
      <c r="B35" s="59"/>
      <c r="C35" s="38"/>
      <c r="D35" s="38" t="e">
        <f>VLOOKUP(C35,Planilha1!$J$2:$L$206,3,)</f>
        <v>#N/A</v>
      </c>
      <c r="E35" s="39"/>
      <c r="F35" s="40"/>
      <c r="G35" s="49"/>
      <c r="H35" s="60">
        <f t="shared" si="0"/>
        <v>0</v>
      </c>
      <c r="I35" s="49">
        <f t="shared" si="1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49">
        <f t="shared" si="8"/>
        <v>0</v>
      </c>
      <c r="V35" s="29">
        <f t="shared" si="2"/>
        <v>0</v>
      </c>
      <c r="W35" s="29">
        <f t="shared" si="3"/>
        <v>0</v>
      </c>
      <c r="X35" s="61">
        <f t="shared" si="4"/>
        <v>0</v>
      </c>
      <c r="Y35" s="61"/>
      <c r="Z35" s="61"/>
      <c r="AA35" s="61"/>
      <c r="AB35" s="61"/>
      <c r="AC35" s="61"/>
      <c r="AD35" s="61"/>
      <c r="AE35" s="49">
        <f t="shared" si="5"/>
        <v>0</v>
      </c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49">
        <f t="shared" si="6"/>
        <v>0</v>
      </c>
    </row>
    <row r="36" spans="1:57" ht="15" hidden="1" customHeight="1" x14ac:dyDescent="0.2">
      <c r="A36" s="36">
        <v>25</v>
      </c>
      <c r="B36" s="59"/>
      <c r="C36" s="38"/>
      <c r="D36" s="38" t="e">
        <f>VLOOKUP(C36,Planilha1!$J$2:$L$206,3,)</f>
        <v>#N/A</v>
      </c>
      <c r="E36" s="39"/>
      <c r="F36" s="40"/>
      <c r="G36" s="49"/>
      <c r="H36" s="60">
        <f t="shared" si="0"/>
        <v>0</v>
      </c>
      <c r="I36" s="49">
        <f t="shared" si="1"/>
        <v>0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49">
        <f t="shared" si="8"/>
        <v>0</v>
      </c>
      <c r="V36" s="29">
        <f t="shared" si="2"/>
        <v>0</v>
      </c>
      <c r="W36" s="29">
        <f t="shared" si="3"/>
        <v>0</v>
      </c>
      <c r="X36" s="61">
        <f t="shared" si="4"/>
        <v>0</v>
      </c>
      <c r="Y36" s="61"/>
      <c r="Z36" s="61"/>
      <c r="AA36" s="61"/>
      <c r="AB36" s="61"/>
      <c r="AC36" s="61"/>
      <c r="AD36" s="61"/>
      <c r="AE36" s="49">
        <f t="shared" si="5"/>
        <v>0</v>
      </c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49">
        <f t="shared" si="6"/>
        <v>0</v>
      </c>
    </row>
    <row r="37" spans="1:57" ht="15" hidden="1" customHeight="1" x14ac:dyDescent="0.2">
      <c r="A37" s="36">
        <v>26</v>
      </c>
      <c r="B37" s="59"/>
      <c r="C37" s="38"/>
      <c r="D37" s="38" t="e">
        <f>VLOOKUP(C37,Planilha1!$J$2:$L$206,3,)</f>
        <v>#N/A</v>
      </c>
      <c r="E37" s="39"/>
      <c r="F37" s="40"/>
      <c r="G37" s="49"/>
      <c r="H37" s="60">
        <f t="shared" si="0"/>
        <v>0</v>
      </c>
      <c r="I37" s="49">
        <f t="shared" si="1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49">
        <f t="shared" si="8"/>
        <v>0</v>
      </c>
      <c r="V37" s="29">
        <f t="shared" si="2"/>
        <v>0</v>
      </c>
      <c r="W37" s="29">
        <f t="shared" si="3"/>
        <v>0</v>
      </c>
      <c r="X37" s="61">
        <f t="shared" si="4"/>
        <v>0</v>
      </c>
      <c r="Y37" s="61"/>
      <c r="Z37" s="61"/>
      <c r="AA37" s="61"/>
      <c r="AB37" s="61"/>
      <c r="AC37" s="61"/>
      <c r="AD37" s="61"/>
      <c r="AE37" s="49">
        <f t="shared" si="5"/>
        <v>0</v>
      </c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49">
        <f t="shared" si="6"/>
        <v>0</v>
      </c>
    </row>
    <row r="38" spans="1:57" ht="15" hidden="1" customHeight="1" x14ac:dyDescent="0.2">
      <c r="A38" s="36">
        <v>27</v>
      </c>
      <c r="B38" s="59"/>
      <c r="C38" s="38"/>
      <c r="D38" s="38" t="e">
        <f>VLOOKUP(C38,Planilha1!$J$2:$L$206,3,)</f>
        <v>#N/A</v>
      </c>
      <c r="E38" s="39"/>
      <c r="F38" s="40"/>
      <c r="G38" s="49"/>
      <c r="H38" s="60">
        <f t="shared" si="0"/>
        <v>0</v>
      </c>
      <c r="I38" s="49">
        <f t="shared" si="1"/>
        <v>0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49">
        <f t="shared" si="8"/>
        <v>0</v>
      </c>
      <c r="V38" s="29">
        <f t="shared" si="2"/>
        <v>0</v>
      </c>
      <c r="W38" s="29">
        <f t="shared" si="3"/>
        <v>0</v>
      </c>
      <c r="X38" s="61">
        <f t="shared" si="4"/>
        <v>0</v>
      </c>
      <c r="Y38" s="61"/>
      <c r="Z38" s="61"/>
      <c r="AA38" s="61"/>
      <c r="AB38" s="61"/>
      <c r="AC38" s="61"/>
      <c r="AD38" s="61"/>
      <c r="AE38" s="49">
        <f t="shared" si="5"/>
        <v>0</v>
      </c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49">
        <f t="shared" si="6"/>
        <v>0</v>
      </c>
    </row>
    <row r="39" spans="1:57" ht="15" hidden="1" customHeight="1" x14ac:dyDescent="0.2">
      <c r="A39" s="36">
        <v>28</v>
      </c>
      <c r="B39" s="59"/>
      <c r="C39" s="38"/>
      <c r="D39" s="38" t="e">
        <f>VLOOKUP(C39,Planilha1!$J$2:$L$206,3,)</f>
        <v>#N/A</v>
      </c>
      <c r="E39" s="39"/>
      <c r="F39" s="40"/>
      <c r="G39" s="49"/>
      <c r="H39" s="60">
        <f t="shared" si="0"/>
        <v>0</v>
      </c>
      <c r="I39" s="49">
        <f t="shared" si="1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49">
        <f t="shared" si="8"/>
        <v>0</v>
      </c>
      <c r="V39" s="29">
        <f t="shared" si="2"/>
        <v>0</v>
      </c>
      <c r="W39" s="29">
        <f t="shared" si="3"/>
        <v>0</v>
      </c>
      <c r="X39" s="61">
        <f t="shared" si="4"/>
        <v>0</v>
      </c>
      <c r="Y39" s="61"/>
      <c r="Z39" s="61"/>
      <c r="AA39" s="61"/>
      <c r="AB39" s="61"/>
      <c r="AC39" s="61"/>
      <c r="AD39" s="61"/>
      <c r="AE39" s="49">
        <f t="shared" si="5"/>
        <v>0</v>
      </c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49">
        <f t="shared" si="6"/>
        <v>0</v>
      </c>
    </row>
    <row r="40" spans="1:57" ht="15" hidden="1" customHeight="1" x14ac:dyDescent="0.2">
      <c r="A40" s="36">
        <v>29</v>
      </c>
      <c r="B40" s="59"/>
      <c r="C40" s="38"/>
      <c r="D40" s="38" t="e">
        <f>VLOOKUP(C40,Planilha1!$J$2:$L$206,3,)</f>
        <v>#N/A</v>
      </c>
      <c r="E40" s="39"/>
      <c r="F40" s="40"/>
      <c r="G40" s="49"/>
      <c r="H40" s="60">
        <f t="shared" si="0"/>
        <v>0</v>
      </c>
      <c r="I40" s="49">
        <f t="shared" si="1"/>
        <v>0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49">
        <f t="shared" si="8"/>
        <v>0</v>
      </c>
      <c r="V40" s="29">
        <f t="shared" si="2"/>
        <v>0</v>
      </c>
      <c r="W40" s="29">
        <f t="shared" si="3"/>
        <v>0</v>
      </c>
      <c r="X40" s="61">
        <f t="shared" si="4"/>
        <v>0</v>
      </c>
      <c r="Y40" s="61"/>
      <c r="Z40" s="61"/>
      <c r="AA40" s="61"/>
      <c r="AB40" s="61"/>
      <c r="AC40" s="61"/>
      <c r="AD40" s="61"/>
      <c r="AE40" s="49">
        <f t="shared" si="5"/>
        <v>0</v>
      </c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49">
        <f t="shared" si="6"/>
        <v>0</v>
      </c>
    </row>
    <row r="41" spans="1:57" ht="15" hidden="1" customHeight="1" x14ac:dyDescent="0.2">
      <c r="A41" s="36">
        <v>30</v>
      </c>
      <c r="B41" s="59"/>
      <c r="C41" s="38"/>
      <c r="D41" s="38" t="e">
        <f>VLOOKUP(C41,Planilha1!$J$2:$L$206,3,)</f>
        <v>#N/A</v>
      </c>
      <c r="E41" s="39"/>
      <c r="F41" s="40"/>
      <c r="G41" s="49"/>
      <c r="H41" s="60">
        <f t="shared" si="0"/>
        <v>0</v>
      </c>
      <c r="I41" s="49">
        <f t="shared" si="1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49">
        <f t="shared" si="8"/>
        <v>0</v>
      </c>
      <c r="V41" s="29">
        <f t="shared" si="2"/>
        <v>0</v>
      </c>
      <c r="W41" s="29">
        <f t="shared" si="3"/>
        <v>0</v>
      </c>
      <c r="X41" s="61">
        <f t="shared" si="4"/>
        <v>0</v>
      </c>
      <c r="Y41" s="61"/>
      <c r="Z41" s="61"/>
      <c r="AA41" s="61"/>
      <c r="AB41" s="61"/>
      <c r="AC41" s="61"/>
      <c r="AD41" s="61"/>
      <c r="AE41" s="49">
        <f t="shared" si="5"/>
        <v>0</v>
      </c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49">
        <f t="shared" si="6"/>
        <v>0</v>
      </c>
    </row>
    <row r="42" spans="1:57" ht="15" customHeight="1" thickBot="1" x14ac:dyDescent="0.25">
      <c r="C42" s="41" t="s">
        <v>2</v>
      </c>
      <c r="D42" s="42"/>
      <c r="E42" s="43"/>
      <c r="F42" s="48">
        <f>SUM(F12:F41)</f>
        <v>1114717</v>
      </c>
      <c r="G42" s="44"/>
      <c r="H42" s="44">
        <f t="shared" ref="H42:U42" si="9">SUM(H12:H41)</f>
        <v>1506</v>
      </c>
      <c r="I42" s="44">
        <f t="shared" si="9"/>
        <v>128</v>
      </c>
      <c r="J42" s="44">
        <f t="shared" si="9"/>
        <v>0</v>
      </c>
      <c r="K42" s="44">
        <f t="shared" si="9"/>
        <v>0</v>
      </c>
      <c r="L42" s="44">
        <f t="shared" si="9"/>
        <v>4</v>
      </c>
      <c r="M42" s="44">
        <f t="shared" si="9"/>
        <v>2</v>
      </c>
      <c r="N42" s="44">
        <f t="shared" si="9"/>
        <v>0</v>
      </c>
      <c r="O42" s="44">
        <f t="shared" si="9"/>
        <v>3</v>
      </c>
      <c r="P42" s="44">
        <f t="shared" si="9"/>
        <v>8</v>
      </c>
      <c r="Q42" s="44">
        <f t="shared" si="9"/>
        <v>23</v>
      </c>
      <c r="R42" s="44">
        <f t="shared" si="9"/>
        <v>3</v>
      </c>
      <c r="S42" s="44">
        <f t="shared" si="9"/>
        <v>103</v>
      </c>
      <c r="T42" s="44">
        <f t="shared" si="9"/>
        <v>20</v>
      </c>
      <c r="U42" s="44">
        <f t="shared" si="9"/>
        <v>1378</v>
      </c>
      <c r="V42" s="45">
        <f t="shared" si="2"/>
        <v>0.91500664010624166</v>
      </c>
      <c r="W42" s="45">
        <f t="shared" si="3"/>
        <v>8.4993359893758294E-2</v>
      </c>
      <c r="X42" s="44">
        <f>SUM(X12:X41)</f>
        <v>888</v>
      </c>
      <c r="Y42" s="44">
        <f>SUM(Y12:Y41)</f>
        <v>0</v>
      </c>
      <c r="Z42" s="44">
        <f>SUM(Z12:Z41)</f>
        <v>0</v>
      </c>
      <c r="AA42" s="44">
        <f t="shared" ref="AA42:AD42" si="10">SUM(AA12:AA41)</f>
        <v>916</v>
      </c>
      <c r="AB42" s="44">
        <f t="shared" si="10"/>
        <v>162</v>
      </c>
      <c r="AC42" s="44">
        <f t="shared" si="10"/>
        <v>32</v>
      </c>
      <c r="AD42" s="44">
        <f t="shared" si="10"/>
        <v>0</v>
      </c>
      <c r="AE42" s="44">
        <f t="shared" ref="AE42:BE42" si="11">SUM(AE12:AE41)</f>
        <v>490</v>
      </c>
      <c r="AF42" s="44">
        <f t="shared" si="11"/>
        <v>0</v>
      </c>
      <c r="AG42" s="44">
        <f t="shared" si="11"/>
        <v>3</v>
      </c>
      <c r="AH42" s="44">
        <f t="shared" si="11"/>
        <v>0</v>
      </c>
      <c r="AI42" s="44">
        <f t="shared" si="11"/>
        <v>1</v>
      </c>
      <c r="AJ42" s="44">
        <f t="shared" si="11"/>
        <v>19</v>
      </c>
      <c r="AK42" s="44">
        <f t="shared" si="11"/>
        <v>0</v>
      </c>
      <c r="AL42" s="44">
        <f t="shared" si="11"/>
        <v>0</v>
      </c>
      <c r="AM42" s="44">
        <f t="shared" si="11"/>
        <v>29</v>
      </c>
      <c r="AN42" s="44">
        <f t="shared" si="11"/>
        <v>1</v>
      </c>
      <c r="AO42" s="44">
        <f t="shared" si="11"/>
        <v>0</v>
      </c>
      <c r="AP42" s="44">
        <f t="shared" si="11"/>
        <v>0</v>
      </c>
      <c r="AQ42" s="44">
        <f t="shared" si="11"/>
        <v>136</v>
      </c>
      <c r="AR42" s="44">
        <f t="shared" si="11"/>
        <v>1</v>
      </c>
      <c r="AS42" s="44">
        <f t="shared" si="11"/>
        <v>2</v>
      </c>
      <c r="AT42" s="44">
        <f t="shared" si="11"/>
        <v>30</v>
      </c>
      <c r="AU42" s="44">
        <f t="shared" si="11"/>
        <v>1</v>
      </c>
      <c r="AV42" s="44">
        <f t="shared" si="11"/>
        <v>0</v>
      </c>
      <c r="AW42" s="44">
        <f t="shared" si="11"/>
        <v>0</v>
      </c>
      <c r="AX42" s="44">
        <f t="shared" si="11"/>
        <v>1</v>
      </c>
      <c r="AY42" s="44">
        <f t="shared" si="11"/>
        <v>125</v>
      </c>
      <c r="AZ42" s="44">
        <f t="shared" si="11"/>
        <v>34</v>
      </c>
      <c r="BA42" s="44">
        <f t="shared" si="11"/>
        <v>52</v>
      </c>
      <c r="BB42" s="44">
        <f t="shared" si="11"/>
        <v>1</v>
      </c>
      <c r="BC42" s="44">
        <f t="shared" si="11"/>
        <v>137</v>
      </c>
      <c r="BD42" s="44">
        <f t="shared" si="11"/>
        <v>0</v>
      </c>
      <c r="BE42" s="46">
        <f t="shared" si="11"/>
        <v>618</v>
      </c>
    </row>
    <row r="43" spans="1:57" ht="16" thickBot="1" x14ac:dyDescent="0.25">
      <c r="BA43" s="2"/>
      <c r="BB43" s="2"/>
      <c r="BC43" s="1"/>
    </row>
    <row r="44" spans="1:57" x14ac:dyDescent="0.2">
      <c r="C44" s="22" t="s">
        <v>9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25"/>
    </row>
    <row r="45" spans="1:57" x14ac:dyDescent="0.2">
      <c r="C45" s="23"/>
      <c r="BE45" s="26"/>
    </row>
    <row r="46" spans="1:57" x14ac:dyDescent="0.2">
      <c r="C46" s="23"/>
      <c r="BE46" s="26"/>
    </row>
    <row r="47" spans="1:57" x14ac:dyDescent="0.2">
      <c r="C47" s="23"/>
      <c r="BE47" s="26"/>
    </row>
    <row r="48" spans="1:57" x14ac:dyDescent="0.2">
      <c r="C48" s="23" t="str">
        <f>'RELATÓRIO APROV. DE LEGÍVEIS'!C421</f>
        <v>GOIÂNIA, 01 DE SETEMBRO DE 2024</v>
      </c>
      <c r="BE48" s="26"/>
    </row>
    <row r="49" spans="3:57" ht="16" thickBot="1" x14ac:dyDescent="0.25">
      <c r="C49" s="24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27"/>
    </row>
  </sheetData>
  <autoFilter ref="A11:BE42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AD6:AO6"/>
    <mergeCell ref="C7:L7"/>
    <mergeCell ref="U7:AB7"/>
    <mergeCell ref="C10:H10"/>
    <mergeCell ref="J11:T11"/>
    <mergeCell ref="AF11:BD11"/>
    <mergeCell ref="C6:R6"/>
    <mergeCell ref="U6:AB6"/>
    <mergeCell ref="C3:R4"/>
    <mergeCell ref="U3:AB3"/>
    <mergeCell ref="U4:AB4"/>
    <mergeCell ref="C5:L5"/>
    <mergeCell ref="U5:AB5"/>
  </mergeCells>
  <conditionalFormatting sqref="H12:H41">
    <cfRule type="cellIs" dxfId="4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EBAF-DDB0-6348-BCE9-5FBD50C6FEDE}">
  <sheetPr>
    <pageSetUpPr fitToPage="1"/>
  </sheetPr>
  <dimension ref="A1:BK202"/>
  <sheetViews>
    <sheetView showGridLines="0" zoomScale="90" zoomScaleNormal="90" workbookViewId="0">
      <pane ySplit="11" topLeftCell="A1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48" width="4.1640625" customWidth="1"/>
    <col min="49" max="49" width="5.1640625" customWidth="1"/>
    <col min="50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25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 t="s">
        <v>406</v>
      </c>
      <c r="C12" s="37" t="s">
        <v>205</v>
      </c>
      <c r="D12" s="38">
        <f>VLOOKUP(C12,Planilha1!$J$2:$L$206,3,)</f>
        <v>3</v>
      </c>
      <c r="E12" s="39" t="s">
        <v>206</v>
      </c>
      <c r="F12" s="40">
        <v>60127</v>
      </c>
      <c r="G12" s="49">
        <v>21</v>
      </c>
      <c r="H12" s="60">
        <v>1238</v>
      </c>
      <c r="I12" s="49">
        <v>147</v>
      </c>
      <c r="J12" s="79"/>
      <c r="K12" s="79">
        <v>1</v>
      </c>
      <c r="L12" s="79"/>
      <c r="M12" s="79">
        <v>1</v>
      </c>
      <c r="N12" s="79"/>
      <c r="O12" s="79"/>
      <c r="P12" s="79">
        <v>19</v>
      </c>
      <c r="Q12" s="79">
        <v>3</v>
      </c>
      <c r="R12" s="79"/>
      <c r="S12" s="79">
        <v>60</v>
      </c>
      <c r="T12" s="79">
        <v>3</v>
      </c>
      <c r="U12" s="49">
        <v>1091</v>
      </c>
      <c r="V12" s="29">
        <v>0.88126009693053309</v>
      </c>
      <c r="W12" s="29">
        <v>0.11873990306946688</v>
      </c>
      <c r="X12" s="61">
        <v>943</v>
      </c>
      <c r="Y12" s="61"/>
      <c r="Z12" s="61">
        <v>55</v>
      </c>
      <c r="AA12" s="61">
        <v>414</v>
      </c>
      <c r="AB12" s="61">
        <v>62</v>
      </c>
      <c r="AC12" s="61">
        <v>2</v>
      </c>
      <c r="AD12" s="61"/>
      <c r="AE12" s="61">
        <v>148</v>
      </c>
      <c r="AF12" s="35"/>
      <c r="AG12" s="35">
        <v>2</v>
      </c>
      <c r="AH12" s="35"/>
      <c r="AI12" s="35"/>
      <c r="AJ12" s="35">
        <v>2</v>
      </c>
      <c r="AK12" s="35">
        <v>23</v>
      </c>
      <c r="AL12" s="35">
        <v>2</v>
      </c>
      <c r="AM12" s="35">
        <v>8</v>
      </c>
      <c r="AN12" s="35"/>
      <c r="AO12" s="35"/>
      <c r="AP12" s="35">
        <v>4</v>
      </c>
      <c r="AQ12" s="35">
        <v>12</v>
      </c>
      <c r="AR12" s="35"/>
      <c r="AS12" s="35">
        <v>4</v>
      </c>
      <c r="AT12" s="35">
        <v>5</v>
      </c>
      <c r="AU12" s="35"/>
      <c r="AV12" s="35">
        <v>1</v>
      </c>
      <c r="AW12" s="35"/>
      <c r="AX12" s="35"/>
      <c r="AY12" s="35">
        <v>22</v>
      </c>
      <c r="AZ12" s="35">
        <v>1</v>
      </c>
      <c r="BA12" s="35">
        <v>3</v>
      </c>
      <c r="BB12" s="35"/>
      <c r="BC12" s="35">
        <v>5</v>
      </c>
      <c r="BD12" s="35"/>
      <c r="BE12" s="49">
        <v>295</v>
      </c>
    </row>
    <row r="13" spans="1:63" ht="15" customHeight="1" x14ac:dyDescent="0.2">
      <c r="A13" s="36">
        <v>2</v>
      </c>
      <c r="B13" s="59" t="s">
        <v>406</v>
      </c>
      <c r="C13" s="38" t="s">
        <v>207</v>
      </c>
      <c r="D13" s="38">
        <f>VLOOKUP(C13,Planilha1!$J$2:$L$206,3,)</f>
        <v>3</v>
      </c>
      <c r="E13" s="39" t="s">
        <v>206</v>
      </c>
      <c r="F13" s="40">
        <v>69337</v>
      </c>
      <c r="G13" s="49">
        <v>21</v>
      </c>
      <c r="H13" s="60">
        <v>1914</v>
      </c>
      <c r="I13" s="49">
        <v>300</v>
      </c>
      <c r="J13" s="79"/>
      <c r="K13" s="39"/>
      <c r="L13" s="39"/>
      <c r="M13" s="39"/>
      <c r="N13" s="39"/>
      <c r="O13" s="39"/>
      <c r="P13" s="39">
        <v>18</v>
      </c>
      <c r="Q13" s="39">
        <v>1</v>
      </c>
      <c r="R13" s="39"/>
      <c r="S13" s="39">
        <v>27</v>
      </c>
      <c r="T13" s="39">
        <v>1</v>
      </c>
      <c r="U13" s="49">
        <v>1614</v>
      </c>
      <c r="V13" s="29">
        <v>0.84326018808777425</v>
      </c>
      <c r="W13" s="29">
        <v>0.15673981191222572</v>
      </c>
      <c r="X13" s="61">
        <v>1240</v>
      </c>
      <c r="Y13" s="61"/>
      <c r="Z13" s="61">
        <v>59</v>
      </c>
      <c r="AA13" s="61">
        <v>197</v>
      </c>
      <c r="AB13" s="61">
        <v>26</v>
      </c>
      <c r="AC13" s="61"/>
      <c r="AD13" s="61"/>
      <c r="AE13" s="49">
        <v>374</v>
      </c>
      <c r="AF13" s="35"/>
      <c r="AG13" s="35"/>
      <c r="AH13" s="35"/>
      <c r="AI13" s="35"/>
      <c r="AJ13" s="35"/>
      <c r="AK13" s="35"/>
      <c r="AL13" s="35"/>
      <c r="AM13" s="35">
        <v>1</v>
      </c>
      <c r="AN13" s="35"/>
      <c r="AO13" s="35"/>
      <c r="AP13" s="35">
        <v>21</v>
      </c>
      <c r="AQ13" s="35">
        <v>2</v>
      </c>
      <c r="AR13" s="35">
        <v>1</v>
      </c>
      <c r="AS13" s="35">
        <v>2</v>
      </c>
      <c r="AT13" s="35">
        <v>7</v>
      </c>
      <c r="AU13" s="35"/>
      <c r="AV13" s="35"/>
      <c r="AW13" s="35"/>
      <c r="AX13" s="35"/>
      <c r="AY13" s="35">
        <v>8</v>
      </c>
      <c r="AZ13" s="35">
        <v>5</v>
      </c>
      <c r="BA13" s="35">
        <v>3</v>
      </c>
      <c r="BB13" s="35"/>
      <c r="BC13" s="35">
        <v>10</v>
      </c>
      <c r="BD13" s="35">
        <v>1</v>
      </c>
      <c r="BE13" s="49">
        <v>674</v>
      </c>
    </row>
    <row r="14" spans="1:63" ht="15" customHeight="1" x14ac:dyDescent="0.2">
      <c r="A14" s="36">
        <v>3</v>
      </c>
      <c r="B14" s="59" t="s">
        <v>407</v>
      </c>
      <c r="C14" s="38" t="s">
        <v>208</v>
      </c>
      <c r="D14" s="38">
        <f>VLOOKUP(C14,Planilha1!$J$2:$L$206,3,)</f>
        <v>3</v>
      </c>
      <c r="E14" s="39" t="s">
        <v>209</v>
      </c>
      <c r="F14" s="40">
        <v>88650</v>
      </c>
      <c r="G14" s="49">
        <v>18</v>
      </c>
      <c r="H14" s="60">
        <f t="shared" ref="H14:H77" si="0">I14+U14</f>
        <v>156</v>
      </c>
      <c r="I14" s="49">
        <f t="shared" ref="I14:I77" si="1">SUM(J14:T14)</f>
        <v>11</v>
      </c>
      <c r="J14" s="39"/>
      <c r="K14" s="39">
        <v>5</v>
      </c>
      <c r="L14" s="39">
        <v>1</v>
      </c>
      <c r="M14" s="39">
        <v>1</v>
      </c>
      <c r="N14" s="39">
        <v>1</v>
      </c>
      <c r="O14" s="39"/>
      <c r="P14" s="39">
        <v>1</v>
      </c>
      <c r="Q14" s="39">
        <v>2</v>
      </c>
      <c r="R14" s="39"/>
      <c r="S14" s="39"/>
      <c r="T14" s="39"/>
      <c r="U14" s="49">
        <f t="shared" ref="U14:U77" si="2">X14+AE14</f>
        <v>145</v>
      </c>
      <c r="V14" s="29">
        <f t="shared" ref="V14:V77" si="3">IF(H14,U14/H14,0)</f>
        <v>0.92948717948717952</v>
      </c>
      <c r="W14" s="29">
        <f t="shared" ref="W14:W77" si="4">IF(H14,I14/H14,0)</f>
        <v>7.0512820512820512E-2</v>
      </c>
      <c r="X14" s="61">
        <f t="shared" ref="X14" si="5">SUM(Y14:AD14)</f>
        <v>108</v>
      </c>
      <c r="Y14" s="61">
        <v>29</v>
      </c>
      <c r="Z14" s="61">
        <v>14</v>
      </c>
      <c r="AA14" s="61">
        <v>56</v>
      </c>
      <c r="AB14" s="61">
        <v>8</v>
      </c>
      <c r="AC14" s="61">
        <v>1</v>
      </c>
      <c r="AD14" s="61"/>
      <c r="AE14" s="61">
        <f t="shared" ref="AE14:AE77" si="6">SUM(AF14:BD14)</f>
        <v>37</v>
      </c>
      <c r="AF14" s="35">
        <v>9</v>
      </c>
      <c r="AG14" s="35"/>
      <c r="AH14" s="35"/>
      <c r="AI14" s="35"/>
      <c r="AJ14" s="35"/>
      <c r="AK14" s="35"/>
      <c r="AL14" s="35">
        <v>4</v>
      </c>
      <c r="AM14" s="35">
        <v>4</v>
      </c>
      <c r="AN14" s="35"/>
      <c r="AO14" s="35"/>
      <c r="AP14" s="35">
        <v>1</v>
      </c>
      <c r="AQ14" s="35">
        <v>2</v>
      </c>
      <c r="AR14" s="35"/>
      <c r="AS14" s="35"/>
      <c r="AT14" s="35">
        <v>2</v>
      </c>
      <c r="AU14" s="35">
        <v>1</v>
      </c>
      <c r="AV14" s="35"/>
      <c r="AW14" s="35"/>
      <c r="AX14" s="35"/>
      <c r="AY14" s="35">
        <v>11</v>
      </c>
      <c r="AZ14" s="35"/>
      <c r="BA14" s="35">
        <v>1</v>
      </c>
      <c r="BB14" s="35"/>
      <c r="BC14" s="35">
        <v>2</v>
      </c>
      <c r="BD14" s="35"/>
      <c r="BE14" s="49">
        <f t="shared" ref="BE14:BE77" si="7">I14+AE14</f>
        <v>48</v>
      </c>
    </row>
    <row r="15" spans="1:63" ht="15" customHeight="1" x14ac:dyDescent="0.2">
      <c r="A15" s="36">
        <v>4</v>
      </c>
      <c r="B15" s="59" t="s">
        <v>407</v>
      </c>
      <c r="C15" s="38" t="s">
        <v>210</v>
      </c>
      <c r="D15" s="38">
        <f>VLOOKUP(C15,Planilha1!$J$2:$L$206,3,)</f>
        <v>3</v>
      </c>
      <c r="E15" s="39" t="s">
        <v>209</v>
      </c>
      <c r="F15" s="40">
        <v>105208</v>
      </c>
      <c r="G15" s="49">
        <v>18</v>
      </c>
      <c r="H15" s="60">
        <f t="shared" si="0"/>
        <v>194</v>
      </c>
      <c r="I15" s="49">
        <f t="shared" si="1"/>
        <v>10</v>
      </c>
      <c r="J15" s="39"/>
      <c r="K15" s="39">
        <v>1</v>
      </c>
      <c r="L15" s="39"/>
      <c r="M15" s="39"/>
      <c r="N15" s="39"/>
      <c r="O15" s="39"/>
      <c r="P15" s="39">
        <v>2</v>
      </c>
      <c r="Q15" s="39">
        <v>4</v>
      </c>
      <c r="R15" s="39"/>
      <c r="S15" s="39"/>
      <c r="T15" s="39">
        <v>3</v>
      </c>
      <c r="U15" s="49">
        <f t="shared" si="2"/>
        <v>184</v>
      </c>
      <c r="V15" s="29">
        <f t="shared" si="3"/>
        <v>0.94845360824742264</v>
      </c>
      <c r="W15" s="29">
        <f t="shared" si="4"/>
        <v>5.1546391752577317E-2</v>
      </c>
      <c r="X15" s="61">
        <f t="shared" ref="X15:X78" si="8">SUM(Y15:AD15)</f>
        <v>134</v>
      </c>
      <c r="Y15" s="61">
        <v>6</v>
      </c>
      <c r="Z15" s="61">
        <v>19</v>
      </c>
      <c r="AA15" s="61">
        <v>95</v>
      </c>
      <c r="AB15" s="61">
        <v>14</v>
      </c>
      <c r="AC15" s="61"/>
      <c r="AD15" s="61"/>
      <c r="AE15" s="49">
        <f t="shared" si="6"/>
        <v>50</v>
      </c>
      <c r="AF15" s="35">
        <v>7</v>
      </c>
      <c r="AG15" s="35"/>
      <c r="AH15" s="35"/>
      <c r="AI15" s="35"/>
      <c r="AJ15" s="35"/>
      <c r="AK15" s="35"/>
      <c r="AL15" s="35">
        <v>2</v>
      </c>
      <c r="AM15" s="35">
        <v>3</v>
      </c>
      <c r="AN15" s="35"/>
      <c r="AO15" s="35"/>
      <c r="AP15" s="35"/>
      <c r="AQ15" s="35">
        <v>3</v>
      </c>
      <c r="AR15" s="35"/>
      <c r="AS15" s="35"/>
      <c r="AT15" s="35">
        <v>5</v>
      </c>
      <c r="AU15" s="35"/>
      <c r="AV15" s="35"/>
      <c r="AW15" s="35"/>
      <c r="AX15" s="35"/>
      <c r="AY15" s="35">
        <v>25</v>
      </c>
      <c r="AZ15" s="35">
        <v>1</v>
      </c>
      <c r="BA15" s="35">
        <v>1</v>
      </c>
      <c r="BB15" s="35"/>
      <c r="BC15" s="35">
        <v>3</v>
      </c>
      <c r="BD15" s="35"/>
      <c r="BE15" s="49">
        <f t="shared" si="7"/>
        <v>60</v>
      </c>
    </row>
    <row r="16" spans="1:63" ht="15" customHeight="1" x14ac:dyDescent="0.2">
      <c r="A16" s="36">
        <v>5</v>
      </c>
      <c r="B16" s="59" t="s">
        <v>407</v>
      </c>
      <c r="C16" s="38" t="s">
        <v>211</v>
      </c>
      <c r="D16" s="38">
        <f>VLOOKUP(C16,Planilha1!$J$2:$L$206,3,)</f>
        <v>3</v>
      </c>
      <c r="E16" s="39" t="s">
        <v>209</v>
      </c>
      <c r="F16" s="40">
        <v>63414</v>
      </c>
      <c r="G16" s="49">
        <v>18</v>
      </c>
      <c r="H16" s="60">
        <f t="shared" si="0"/>
        <v>106</v>
      </c>
      <c r="I16" s="49">
        <f t="shared" si="1"/>
        <v>21</v>
      </c>
      <c r="J16" s="39"/>
      <c r="K16" s="39">
        <v>3</v>
      </c>
      <c r="L16" s="39">
        <v>1</v>
      </c>
      <c r="M16" s="39">
        <v>1</v>
      </c>
      <c r="N16" s="39"/>
      <c r="O16" s="39"/>
      <c r="P16" s="39">
        <v>5</v>
      </c>
      <c r="Q16" s="39">
        <v>3</v>
      </c>
      <c r="R16" s="39"/>
      <c r="S16" s="39"/>
      <c r="T16" s="39">
        <v>8</v>
      </c>
      <c r="U16" s="49">
        <f t="shared" si="2"/>
        <v>85</v>
      </c>
      <c r="V16" s="29">
        <f t="shared" si="3"/>
        <v>0.80188679245283023</v>
      </c>
      <c r="W16" s="29">
        <f t="shared" si="4"/>
        <v>0.19811320754716982</v>
      </c>
      <c r="X16" s="61">
        <f t="shared" si="8"/>
        <v>51</v>
      </c>
      <c r="Y16" s="61">
        <v>2</v>
      </c>
      <c r="Z16" s="61">
        <v>14</v>
      </c>
      <c r="AA16" s="61">
        <v>31</v>
      </c>
      <c r="AB16" s="61">
        <v>4</v>
      </c>
      <c r="AC16" s="61"/>
      <c r="AD16" s="61"/>
      <c r="AE16" s="61">
        <f t="shared" si="6"/>
        <v>34</v>
      </c>
      <c r="AF16" s="35">
        <v>2</v>
      </c>
      <c r="AG16" s="35"/>
      <c r="AH16" s="35"/>
      <c r="AI16" s="35"/>
      <c r="AJ16" s="35"/>
      <c r="AK16" s="35"/>
      <c r="AL16" s="35"/>
      <c r="AM16" s="35"/>
      <c r="AN16" s="35"/>
      <c r="AO16" s="35"/>
      <c r="AP16" s="35">
        <v>3</v>
      </c>
      <c r="AQ16" s="35">
        <v>1</v>
      </c>
      <c r="AR16" s="35"/>
      <c r="AS16" s="35">
        <v>1</v>
      </c>
      <c r="AT16" s="35"/>
      <c r="AU16" s="35"/>
      <c r="AV16" s="35"/>
      <c r="AW16" s="35"/>
      <c r="AX16" s="35"/>
      <c r="AY16" s="35">
        <v>19</v>
      </c>
      <c r="AZ16" s="35">
        <v>3</v>
      </c>
      <c r="BA16" s="35">
        <v>1</v>
      </c>
      <c r="BB16" s="35"/>
      <c r="BC16" s="35">
        <v>4</v>
      </c>
      <c r="BD16" s="35"/>
      <c r="BE16" s="49">
        <f t="shared" si="7"/>
        <v>55</v>
      </c>
    </row>
    <row r="17" spans="1:57" ht="15" customHeight="1" x14ac:dyDescent="0.2">
      <c r="A17" s="36">
        <v>6</v>
      </c>
      <c r="B17" s="59" t="s">
        <v>408</v>
      </c>
      <c r="C17" s="38" t="s">
        <v>212</v>
      </c>
      <c r="D17" s="38">
        <f>VLOOKUP(C17,Planilha1!$J$2:$L$206,3,)</f>
        <v>3</v>
      </c>
      <c r="E17" s="39" t="s">
        <v>213</v>
      </c>
      <c r="F17" s="40">
        <v>68365</v>
      </c>
      <c r="G17" s="49">
        <v>18</v>
      </c>
      <c r="H17" s="60">
        <f t="shared" si="0"/>
        <v>70</v>
      </c>
      <c r="I17" s="49">
        <f t="shared" si="1"/>
        <v>3</v>
      </c>
      <c r="J17" s="39"/>
      <c r="K17" s="39"/>
      <c r="L17" s="39"/>
      <c r="M17" s="39"/>
      <c r="N17" s="39"/>
      <c r="O17" s="39"/>
      <c r="P17" s="39">
        <v>2</v>
      </c>
      <c r="Q17" s="39">
        <v>1</v>
      </c>
      <c r="R17" s="39"/>
      <c r="S17" s="39"/>
      <c r="T17" s="39"/>
      <c r="U17" s="49">
        <f t="shared" si="2"/>
        <v>67</v>
      </c>
      <c r="V17" s="29">
        <f t="shared" si="3"/>
        <v>0.95714285714285718</v>
      </c>
      <c r="W17" s="29">
        <f t="shared" si="4"/>
        <v>4.2857142857142858E-2</v>
      </c>
      <c r="X17" s="61">
        <f t="shared" si="8"/>
        <v>44</v>
      </c>
      <c r="Y17" s="61">
        <v>1</v>
      </c>
      <c r="Z17" s="61">
        <v>32</v>
      </c>
      <c r="AA17" s="61">
        <v>10</v>
      </c>
      <c r="AB17" s="61">
        <v>1</v>
      </c>
      <c r="AC17" s="61"/>
      <c r="AD17" s="61"/>
      <c r="AE17" s="49">
        <f t="shared" si="6"/>
        <v>23</v>
      </c>
      <c r="AF17" s="35"/>
      <c r="AG17" s="35"/>
      <c r="AH17" s="35"/>
      <c r="AI17" s="35"/>
      <c r="AJ17" s="35"/>
      <c r="AK17" s="35"/>
      <c r="AL17" s="35"/>
      <c r="AM17" s="35">
        <v>1</v>
      </c>
      <c r="AN17" s="35"/>
      <c r="AO17" s="35"/>
      <c r="AP17" s="35"/>
      <c r="AQ17" s="35"/>
      <c r="AR17" s="35"/>
      <c r="AS17" s="35"/>
      <c r="AT17" s="35">
        <v>1</v>
      </c>
      <c r="AU17" s="35"/>
      <c r="AV17" s="35"/>
      <c r="AW17" s="35"/>
      <c r="AX17" s="35"/>
      <c r="AY17" s="35">
        <v>17</v>
      </c>
      <c r="AZ17" s="35"/>
      <c r="BA17" s="35"/>
      <c r="BB17" s="35"/>
      <c r="BC17" s="35">
        <v>4</v>
      </c>
      <c r="BD17" s="35"/>
      <c r="BE17" s="49">
        <f t="shared" si="7"/>
        <v>26</v>
      </c>
    </row>
    <row r="18" spans="1:57" ht="15" customHeight="1" x14ac:dyDescent="0.2">
      <c r="A18" s="36">
        <v>7</v>
      </c>
      <c r="B18" s="59" t="s">
        <v>408</v>
      </c>
      <c r="C18" s="38" t="s">
        <v>214</v>
      </c>
      <c r="D18" s="38">
        <f>VLOOKUP(C18,Planilha1!$J$2:$L$206,3,)</f>
        <v>3</v>
      </c>
      <c r="E18" s="39" t="s">
        <v>213</v>
      </c>
      <c r="F18" s="40">
        <v>87572</v>
      </c>
      <c r="G18" s="49">
        <v>18</v>
      </c>
      <c r="H18" s="60">
        <f t="shared" si="0"/>
        <v>139</v>
      </c>
      <c r="I18" s="49">
        <f t="shared" si="1"/>
        <v>14</v>
      </c>
      <c r="J18" s="39"/>
      <c r="K18" s="39"/>
      <c r="L18" s="39"/>
      <c r="M18" s="39">
        <v>1</v>
      </c>
      <c r="N18" s="39"/>
      <c r="O18" s="39"/>
      <c r="P18" s="39">
        <v>3</v>
      </c>
      <c r="Q18" s="39">
        <v>5</v>
      </c>
      <c r="R18" s="39"/>
      <c r="S18" s="39">
        <v>5</v>
      </c>
      <c r="T18" s="39"/>
      <c r="U18" s="49">
        <f t="shared" si="2"/>
        <v>125</v>
      </c>
      <c r="V18" s="29">
        <f t="shared" si="3"/>
        <v>0.89928057553956831</v>
      </c>
      <c r="W18" s="29">
        <f t="shared" si="4"/>
        <v>0.10071942446043165</v>
      </c>
      <c r="X18" s="61">
        <f t="shared" si="8"/>
        <v>92</v>
      </c>
      <c r="Y18" s="61"/>
      <c r="Z18" s="61">
        <v>55</v>
      </c>
      <c r="AA18" s="61">
        <v>30</v>
      </c>
      <c r="AB18" s="61">
        <v>7</v>
      </c>
      <c r="AC18" s="61"/>
      <c r="AD18" s="61"/>
      <c r="AE18" s="61">
        <f t="shared" si="6"/>
        <v>33</v>
      </c>
      <c r="AF18" s="35"/>
      <c r="AG18" s="35"/>
      <c r="AH18" s="35"/>
      <c r="AI18" s="35"/>
      <c r="AJ18" s="35">
        <v>1</v>
      </c>
      <c r="AK18" s="35"/>
      <c r="AL18" s="35"/>
      <c r="AM18" s="35">
        <v>3</v>
      </c>
      <c r="AN18" s="35"/>
      <c r="AO18" s="35"/>
      <c r="AP18" s="35"/>
      <c r="AQ18" s="35">
        <v>2</v>
      </c>
      <c r="AR18" s="35"/>
      <c r="AS18" s="35">
        <v>1</v>
      </c>
      <c r="AT18" s="35">
        <v>5</v>
      </c>
      <c r="AU18" s="35"/>
      <c r="AV18" s="35"/>
      <c r="AW18" s="35"/>
      <c r="AX18" s="35"/>
      <c r="AY18" s="35">
        <v>13</v>
      </c>
      <c r="AZ18" s="35">
        <v>1</v>
      </c>
      <c r="BA18" s="35">
        <v>1</v>
      </c>
      <c r="BB18" s="35"/>
      <c r="BC18" s="35">
        <v>6</v>
      </c>
      <c r="BD18" s="35"/>
      <c r="BE18" s="49">
        <f t="shared" si="7"/>
        <v>47</v>
      </c>
    </row>
    <row r="19" spans="1:57" ht="15" customHeight="1" x14ac:dyDescent="0.2">
      <c r="A19" s="36">
        <v>8</v>
      </c>
      <c r="B19" s="59" t="s">
        <v>408</v>
      </c>
      <c r="C19" s="38" t="s">
        <v>215</v>
      </c>
      <c r="D19" s="38">
        <f>VLOOKUP(C19,Planilha1!$J$2:$L$206,3,)</f>
        <v>3</v>
      </c>
      <c r="E19" s="39" t="s">
        <v>213</v>
      </c>
      <c r="F19" s="40">
        <v>36564</v>
      </c>
      <c r="G19" s="49">
        <v>18</v>
      </c>
      <c r="H19" s="60">
        <f t="shared" si="0"/>
        <v>109</v>
      </c>
      <c r="I19" s="49">
        <f t="shared" si="1"/>
        <v>25</v>
      </c>
      <c r="J19" s="39"/>
      <c r="K19" s="39">
        <v>16</v>
      </c>
      <c r="L19" s="39"/>
      <c r="M19" s="39"/>
      <c r="N19" s="39"/>
      <c r="O19" s="39"/>
      <c r="P19" s="39">
        <v>2</v>
      </c>
      <c r="Q19" s="39"/>
      <c r="R19" s="39"/>
      <c r="S19" s="39">
        <v>5</v>
      </c>
      <c r="T19" s="39">
        <v>2</v>
      </c>
      <c r="U19" s="49">
        <f t="shared" si="2"/>
        <v>84</v>
      </c>
      <c r="V19" s="29">
        <f t="shared" si="3"/>
        <v>0.77064220183486243</v>
      </c>
      <c r="W19" s="29">
        <f t="shared" si="4"/>
        <v>0.22935779816513763</v>
      </c>
      <c r="X19" s="61">
        <f t="shared" si="8"/>
        <v>47</v>
      </c>
      <c r="Y19" s="61">
        <v>3</v>
      </c>
      <c r="Z19" s="61">
        <v>38</v>
      </c>
      <c r="AA19" s="61">
        <v>5</v>
      </c>
      <c r="AB19" s="61">
        <v>1</v>
      </c>
      <c r="AC19" s="61"/>
      <c r="AD19" s="61"/>
      <c r="AE19" s="49">
        <f t="shared" si="6"/>
        <v>37</v>
      </c>
      <c r="AF19" s="35"/>
      <c r="AG19" s="35">
        <v>1</v>
      </c>
      <c r="AH19" s="35"/>
      <c r="AI19" s="35"/>
      <c r="AJ19" s="35"/>
      <c r="AK19" s="35"/>
      <c r="AL19" s="35"/>
      <c r="AM19" s="35">
        <v>3</v>
      </c>
      <c r="AN19" s="35"/>
      <c r="AO19" s="35">
        <v>1</v>
      </c>
      <c r="AP19" s="35">
        <v>8</v>
      </c>
      <c r="AQ19" s="35"/>
      <c r="AR19" s="35"/>
      <c r="AS19" s="35">
        <v>1</v>
      </c>
      <c r="AT19" s="35">
        <v>2</v>
      </c>
      <c r="AU19" s="35"/>
      <c r="AV19" s="35"/>
      <c r="AW19" s="35"/>
      <c r="AX19" s="35"/>
      <c r="AY19" s="35">
        <v>15</v>
      </c>
      <c r="AZ19" s="35">
        <v>1</v>
      </c>
      <c r="BA19" s="35">
        <v>1</v>
      </c>
      <c r="BB19" s="35"/>
      <c r="BC19" s="35">
        <v>4</v>
      </c>
      <c r="BD19" s="35"/>
      <c r="BE19" s="49">
        <f t="shared" si="7"/>
        <v>62</v>
      </c>
    </row>
    <row r="20" spans="1:57" ht="15" customHeight="1" x14ac:dyDescent="0.2">
      <c r="A20" s="36">
        <v>9</v>
      </c>
      <c r="B20" s="59" t="s">
        <v>78</v>
      </c>
      <c r="C20" s="38" t="s">
        <v>75</v>
      </c>
      <c r="D20" s="38">
        <f>VLOOKUP(C20,Planilha1!$J$2:$L$206,3,)</f>
        <v>3</v>
      </c>
      <c r="E20" s="39" t="s">
        <v>72</v>
      </c>
      <c r="F20" s="40">
        <v>81507</v>
      </c>
      <c r="G20" s="49">
        <v>27</v>
      </c>
      <c r="H20" s="60">
        <f t="shared" si="0"/>
        <v>1574</v>
      </c>
      <c r="I20" s="49">
        <f t="shared" si="1"/>
        <v>51</v>
      </c>
      <c r="J20" s="39"/>
      <c r="K20" s="39"/>
      <c r="L20" s="39"/>
      <c r="M20" s="39"/>
      <c r="N20" s="39"/>
      <c r="O20" s="39">
        <v>12</v>
      </c>
      <c r="P20" s="39">
        <v>5</v>
      </c>
      <c r="Q20" s="39">
        <v>28</v>
      </c>
      <c r="R20" s="39">
        <v>6</v>
      </c>
      <c r="S20" s="39"/>
      <c r="T20" s="39"/>
      <c r="U20" s="49">
        <f t="shared" si="2"/>
        <v>1523</v>
      </c>
      <c r="V20" s="29">
        <f t="shared" si="3"/>
        <v>0.96759847522236342</v>
      </c>
      <c r="W20" s="29">
        <f t="shared" si="4"/>
        <v>3.2401524777636595E-2</v>
      </c>
      <c r="X20" s="61">
        <f t="shared" si="8"/>
        <v>100</v>
      </c>
      <c r="Y20" s="61">
        <v>45</v>
      </c>
      <c r="Z20" s="61"/>
      <c r="AA20" s="61">
        <v>43</v>
      </c>
      <c r="AB20" s="61">
        <v>9</v>
      </c>
      <c r="AC20" s="61">
        <v>3</v>
      </c>
      <c r="AD20" s="61"/>
      <c r="AE20" s="61">
        <f t="shared" si="6"/>
        <v>1423</v>
      </c>
      <c r="AF20" s="35"/>
      <c r="AG20" s="35">
        <v>2</v>
      </c>
      <c r="AH20" s="35"/>
      <c r="AI20" s="35"/>
      <c r="AJ20" s="35"/>
      <c r="AK20" s="35"/>
      <c r="AL20" s="35">
        <v>3</v>
      </c>
      <c r="AM20" s="35">
        <v>1</v>
      </c>
      <c r="AN20" s="35"/>
      <c r="AO20" s="35">
        <v>1</v>
      </c>
      <c r="AP20" s="35"/>
      <c r="AQ20" s="35">
        <v>2</v>
      </c>
      <c r="AR20" s="35"/>
      <c r="AS20" s="35">
        <v>4</v>
      </c>
      <c r="AT20" s="35">
        <v>10</v>
      </c>
      <c r="AU20" s="35"/>
      <c r="AV20" s="35"/>
      <c r="AW20" s="35">
        <v>1333</v>
      </c>
      <c r="AX20" s="35">
        <v>3</v>
      </c>
      <c r="AY20" s="35">
        <v>18</v>
      </c>
      <c r="AZ20" s="35">
        <v>29</v>
      </c>
      <c r="BA20" s="35">
        <v>3</v>
      </c>
      <c r="BB20" s="35">
        <v>1</v>
      </c>
      <c r="BC20" s="35">
        <v>11</v>
      </c>
      <c r="BD20" s="35">
        <v>2</v>
      </c>
      <c r="BE20" s="49">
        <f t="shared" si="7"/>
        <v>1474</v>
      </c>
    </row>
    <row r="21" spans="1:57" ht="15" customHeight="1" x14ac:dyDescent="0.2">
      <c r="A21" s="36">
        <v>10</v>
      </c>
      <c r="B21" s="59" t="s">
        <v>78</v>
      </c>
      <c r="C21" s="38" t="s">
        <v>76</v>
      </c>
      <c r="D21" s="38">
        <f>VLOOKUP(C21,Planilha1!$J$2:$L$206,3,)</f>
        <v>3</v>
      </c>
      <c r="E21" s="39" t="s">
        <v>72</v>
      </c>
      <c r="F21" s="40">
        <v>79432</v>
      </c>
      <c r="G21" s="49">
        <v>18</v>
      </c>
      <c r="H21" s="60">
        <f t="shared" si="0"/>
        <v>358</v>
      </c>
      <c r="I21" s="49">
        <f t="shared" si="1"/>
        <v>45</v>
      </c>
      <c r="J21" s="39"/>
      <c r="K21" s="39"/>
      <c r="L21" s="39"/>
      <c r="M21" s="39">
        <v>1</v>
      </c>
      <c r="N21" s="39"/>
      <c r="O21" s="39"/>
      <c r="P21" s="39">
        <v>36</v>
      </c>
      <c r="Q21" s="39">
        <v>8</v>
      </c>
      <c r="R21" s="39"/>
      <c r="S21" s="39"/>
      <c r="T21" s="39"/>
      <c r="U21" s="49">
        <f t="shared" si="2"/>
        <v>313</v>
      </c>
      <c r="V21" s="29">
        <f t="shared" si="3"/>
        <v>0.87430167597765363</v>
      </c>
      <c r="W21" s="29">
        <f t="shared" si="4"/>
        <v>0.12569832402234637</v>
      </c>
      <c r="X21" s="61">
        <f t="shared" si="8"/>
        <v>169</v>
      </c>
      <c r="Y21" s="61">
        <v>169</v>
      </c>
      <c r="Z21" s="61"/>
      <c r="AA21" s="61"/>
      <c r="AB21" s="61"/>
      <c r="AC21" s="61"/>
      <c r="AD21" s="61"/>
      <c r="AE21" s="49">
        <f t="shared" si="6"/>
        <v>144</v>
      </c>
      <c r="AF21" s="35"/>
      <c r="AG21" s="35"/>
      <c r="AH21" s="35"/>
      <c r="AI21" s="35"/>
      <c r="AJ21" s="35"/>
      <c r="AK21" s="35"/>
      <c r="AL21" s="35"/>
      <c r="AM21" s="35">
        <v>3</v>
      </c>
      <c r="AN21" s="35"/>
      <c r="AO21" s="35"/>
      <c r="AP21" s="35"/>
      <c r="AQ21" s="35"/>
      <c r="AR21" s="35"/>
      <c r="AS21" s="35">
        <v>4</v>
      </c>
      <c r="AT21" s="35"/>
      <c r="AU21" s="35"/>
      <c r="AV21" s="35"/>
      <c r="AW21" s="35">
        <v>127</v>
      </c>
      <c r="AX21" s="35">
        <v>2</v>
      </c>
      <c r="AY21" s="35">
        <v>3</v>
      </c>
      <c r="AZ21" s="35">
        <v>1</v>
      </c>
      <c r="BA21" s="35"/>
      <c r="BB21" s="35"/>
      <c r="BC21" s="35">
        <v>2</v>
      </c>
      <c r="BD21" s="35">
        <v>2</v>
      </c>
      <c r="BE21" s="49">
        <f t="shared" si="7"/>
        <v>189</v>
      </c>
    </row>
    <row r="22" spans="1:57" ht="15" hidden="1" customHeight="1" x14ac:dyDescent="0.2">
      <c r="A22" s="36">
        <v>11</v>
      </c>
      <c r="B22" s="59"/>
      <c r="C22" s="38"/>
      <c r="D22" s="38" t="e">
        <f>VLOOKUP(C22,Planilha1!$J$2:$L$206,3,)</f>
        <v>#N/A</v>
      </c>
      <c r="E22" s="39"/>
      <c r="F22" s="40"/>
      <c r="G22" s="49"/>
      <c r="H22" s="60">
        <f t="shared" si="0"/>
        <v>0</v>
      </c>
      <c r="I22" s="49">
        <f t="shared" si="1"/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49">
        <f t="shared" si="2"/>
        <v>0</v>
      </c>
      <c r="V22" s="29">
        <f t="shared" si="3"/>
        <v>0</v>
      </c>
      <c r="W22" s="29">
        <f t="shared" si="4"/>
        <v>0</v>
      </c>
      <c r="X22" s="61">
        <f t="shared" si="8"/>
        <v>0</v>
      </c>
      <c r="Y22" s="61"/>
      <c r="Z22" s="61"/>
      <c r="AA22" s="61"/>
      <c r="AB22" s="61"/>
      <c r="AC22" s="61"/>
      <c r="AD22" s="61"/>
      <c r="AE22" s="61">
        <f t="shared" si="6"/>
        <v>0</v>
      </c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49">
        <f t="shared" si="7"/>
        <v>0</v>
      </c>
    </row>
    <row r="23" spans="1:57" ht="15" hidden="1" customHeight="1" x14ac:dyDescent="0.2">
      <c r="A23" s="36">
        <v>12</v>
      </c>
      <c r="B23" s="59"/>
      <c r="C23" s="38"/>
      <c r="D23" s="38" t="e">
        <f>VLOOKUP(C23,Planilha1!$J$2:$L$206,3,)</f>
        <v>#N/A</v>
      </c>
      <c r="E23" s="39"/>
      <c r="F23" s="40"/>
      <c r="G23" s="49"/>
      <c r="H23" s="60">
        <f t="shared" si="0"/>
        <v>0</v>
      </c>
      <c r="I23" s="49">
        <f t="shared" si="1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49">
        <f t="shared" si="2"/>
        <v>0</v>
      </c>
      <c r="V23" s="29">
        <f t="shared" si="3"/>
        <v>0</v>
      </c>
      <c r="W23" s="29">
        <f t="shared" si="4"/>
        <v>0</v>
      </c>
      <c r="X23" s="61">
        <f t="shared" si="8"/>
        <v>0</v>
      </c>
      <c r="Y23" s="61"/>
      <c r="Z23" s="61"/>
      <c r="AA23" s="61"/>
      <c r="AB23" s="61"/>
      <c r="AC23" s="61"/>
      <c r="AD23" s="61"/>
      <c r="AE23" s="49">
        <f t="shared" si="6"/>
        <v>0</v>
      </c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49">
        <f t="shared" si="7"/>
        <v>0</v>
      </c>
    </row>
    <row r="24" spans="1:57" ht="15" hidden="1" customHeight="1" x14ac:dyDescent="0.2">
      <c r="A24" s="36">
        <v>13</v>
      </c>
      <c r="B24" s="59"/>
      <c r="C24" s="38"/>
      <c r="D24" s="38" t="e">
        <f>VLOOKUP(C24,Planilha1!$J$2:$L$206,3,)</f>
        <v>#N/A</v>
      </c>
      <c r="E24" s="39"/>
      <c r="F24" s="40"/>
      <c r="G24" s="49"/>
      <c r="H24" s="60">
        <f t="shared" si="0"/>
        <v>0</v>
      </c>
      <c r="I24" s="49">
        <f t="shared" si="1"/>
        <v>0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49">
        <f t="shared" si="2"/>
        <v>0</v>
      </c>
      <c r="V24" s="29">
        <f t="shared" si="3"/>
        <v>0</v>
      </c>
      <c r="W24" s="29">
        <f t="shared" si="4"/>
        <v>0</v>
      </c>
      <c r="X24" s="61">
        <f t="shared" si="8"/>
        <v>0</v>
      </c>
      <c r="Y24" s="61"/>
      <c r="Z24" s="61"/>
      <c r="AA24" s="61"/>
      <c r="AB24" s="61"/>
      <c r="AC24" s="61"/>
      <c r="AD24" s="61"/>
      <c r="AE24" s="61">
        <f t="shared" si="6"/>
        <v>0</v>
      </c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49">
        <f t="shared" si="7"/>
        <v>0</v>
      </c>
    </row>
    <row r="25" spans="1:57" ht="15" hidden="1" customHeight="1" x14ac:dyDescent="0.2">
      <c r="A25" s="36">
        <v>14</v>
      </c>
      <c r="B25" s="59"/>
      <c r="C25" s="38"/>
      <c r="D25" s="38" t="e">
        <f>VLOOKUP(C25,Planilha1!$J$2:$L$206,3,)</f>
        <v>#N/A</v>
      </c>
      <c r="E25" s="39"/>
      <c r="F25" s="40"/>
      <c r="G25" s="49"/>
      <c r="H25" s="60">
        <f t="shared" si="0"/>
        <v>0</v>
      </c>
      <c r="I25" s="49">
        <f t="shared" si="1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49">
        <f t="shared" si="2"/>
        <v>0</v>
      </c>
      <c r="V25" s="29">
        <f t="shared" si="3"/>
        <v>0</v>
      </c>
      <c r="W25" s="29">
        <f t="shared" si="4"/>
        <v>0</v>
      </c>
      <c r="X25" s="61">
        <f t="shared" si="8"/>
        <v>0</v>
      </c>
      <c r="Y25" s="61"/>
      <c r="Z25" s="61"/>
      <c r="AA25" s="61"/>
      <c r="AB25" s="61"/>
      <c r="AC25" s="61"/>
      <c r="AD25" s="61"/>
      <c r="AE25" s="49">
        <f t="shared" si="6"/>
        <v>0</v>
      </c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49">
        <f t="shared" si="7"/>
        <v>0</v>
      </c>
    </row>
    <row r="26" spans="1:57" ht="15" hidden="1" customHeight="1" x14ac:dyDescent="0.2">
      <c r="A26" s="36">
        <v>15</v>
      </c>
      <c r="B26" s="59"/>
      <c r="C26" s="38"/>
      <c r="D26" s="38" t="e">
        <f>VLOOKUP(C26,Planilha1!$J$2:$L$206,3,)</f>
        <v>#N/A</v>
      </c>
      <c r="E26" s="39"/>
      <c r="F26" s="40"/>
      <c r="G26" s="49"/>
      <c r="H26" s="60">
        <f t="shared" si="0"/>
        <v>0</v>
      </c>
      <c r="I26" s="49">
        <f t="shared" si="1"/>
        <v>0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49">
        <f t="shared" si="2"/>
        <v>0</v>
      </c>
      <c r="V26" s="29">
        <f t="shared" si="3"/>
        <v>0</v>
      </c>
      <c r="W26" s="29">
        <f t="shared" si="4"/>
        <v>0</v>
      </c>
      <c r="X26" s="61">
        <f t="shared" si="8"/>
        <v>0</v>
      </c>
      <c r="Y26" s="61"/>
      <c r="Z26" s="61"/>
      <c r="AA26" s="61"/>
      <c r="AB26" s="61"/>
      <c r="AC26" s="61"/>
      <c r="AD26" s="61"/>
      <c r="AE26" s="61">
        <f t="shared" si="6"/>
        <v>0</v>
      </c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49">
        <f t="shared" si="7"/>
        <v>0</v>
      </c>
    </row>
    <row r="27" spans="1:57" ht="15" hidden="1" customHeight="1" x14ac:dyDescent="0.2">
      <c r="A27" s="36">
        <v>16</v>
      </c>
      <c r="B27" s="59"/>
      <c r="C27" s="38"/>
      <c r="D27" s="38" t="e">
        <f>VLOOKUP(C27,Planilha1!$J$2:$L$206,3,)</f>
        <v>#N/A</v>
      </c>
      <c r="E27" s="39"/>
      <c r="F27" s="40"/>
      <c r="G27" s="49"/>
      <c r="H27" s="60">
        <f t="shared" si="0"/>
        <v>0</v>
      </c>
      <c r="I27" s="49">
        <f t="shared" si="1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49">
        <f t="shared" si="2"/>
        <v>0</v>
      </c>
      <c r="V27" s="29">
        <f t="shared" si="3"/>
        <v>0</v>
      </c>
      <c r="W27" s="29">
        <f t="shared" si="4"/>
        <v>0</v>
      </c>
      <c r="X27" s="61">
        <f t="shared" si="8"/>
        <v>0</v>
      </c>
      <c r="Y27" s="61"/>
      <c r="Z27" s="61"/>
      <c r="AA27" s="61"/>
      <c r="AB27" s="61"/>
      <c r="AC27" s="61"/>
      <c r="AD27" s="61"/>
      <c r="AE27" s="49">
        <f t="shared" si="6"/>
        <v>0</v>
      </c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49">
        <f t="shared" si="7"/>
        <v>0</v>
      </c>
    </row>
    <row r="28" spans="1:57" ht="15" hidden="1" customHeight="1" x14ac:dyDescent="0.2">
      <c r="A28" s="36">
        <v>17</v>
      </c>
      <c r="B28" s="59"/>
      <c r="C28" s="38"/>
      <c r="D28" s="38" t="e">
        <f>VLOOKUP(C28,Planilha1!$J$2:$L$206,3,)</f>
        <v>#N/A</v>
      </c>
      <c r="E28" s="39"/>
      <c r="F28" s="40"/>
      <c r="G28" s="49"/>
      <c r="H28" s="60">
        <f t="shared" si="0"/>
        <v>0</v>
      </c>
      <c r="I28" s="49">
        <f t="shared" si="1"/>
        <v>0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49">
        <f t="shared" si="2"/>
        <v>0</v>
      </c>
      <c r="V28" s="29">
        <f t="shared" si="3"/>
        <v>0</v>
      </c>
      <c r="W28" s="29">
        <f t="shared" si="4"/>
        <v>0</v>
      </c>
      <c r="X28" s="61">
        <f t="shared" si="8"/>
        <v>0</v>
      </c>
      <c r="Y28" s="61"/>
      <c r="Z28" s="61"/>
      <c r="AA28" s="61"/>
      <c r="AB28" s="61"/>
      <c r="AC28" s="61"/>
      <c r="AD28" s="61"/>
      <c r="AE28" s="61">
        <f t="shared" si="6"/>
        <v>0</v>
      </c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49">
        <f t="shared" si="7"/>
        <v>0</v>
      </c>
    </row>
    <row r="29" spans="1:57" ht="15" hidden="1" customHeight="1" x14ac:dyDescent="0.2">
      <c r="A29" s="36">
        <v>18</v>
      </c>
      <c r="B29" s="59"/>
      <c r="C29" s="38"/>
      <c r="D29" s="38" t="e">
        <f>VLOOKUP(C29,Planilha1!$J$2:$L$206,3,)</f>
        <v>#N/A</v>
      </c>
      <c r="E29" s="39"/>
      <c r="F29" s="40"/>
      <c r="G29" s="49"/>
      <c r="H29" s="60">
        <f t="shared" si="0"/>
        <v>0</v>
      </c>
      <c r="I29" s="49">
        <f t="shared" si="1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49">
        <f t="shared" si="2"/>
        <v>0</v>
      </c>
      <c r="V29" s="29">
        <f t="shared" si="3"/>
        <v>0</v>
      </c>
      <c r="W29" s="29">
        <f t="shared" si="4"/>
        <v>0</v>
      </c>
      <c r="X29" s="61">
        <f t="shared" si="8"/>
        <v>0</v>
      </c>
      <c r="Y29" s="61"/>
      <c r="Z29" s="61"/>
      <c r="AA29" s="61"/>
      <c r="AB29" s="61"/>
      <c r="AC29" s="61"/>
      <c r="AD29" s="61"/>
      <c r="AE29" s="49">
        <f t="shared" si="6"/>
        <v>0</v>
      </c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49">
        <f t="shared" si="7"/>
        <v>0</v>
      </c>
    </row>
    <row r="30" spans="1:57" ht="15" hidden="1" customHeight="1" x14ac:dyDescent="0.2">
      <c r="A30" s="36">
        <v>19</v>
      </c>
      <c r="B30" s="59"/>
      <c r="C30" s="38"/>
      <c r="D30" s="38" t="e">
        <f>VLOOKUP(C30,Planilha1!$J$2:$L$206,3,)</f>
        <v>#N/A</v>
      </c>
      <c r="E30" s="39"/>
      <c r="F30" s="40"/>
      <c r="G30" s="49"/>
      <c r="H30" s="60">
        <f t="shared" si="0"/>
        <v>0</v>
      </c>
      <c r="I30" s="49">
        <f t="shared" si="1"/>
        <v>0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49">
        <f t="shared" si="2"/>
        <v>0</v>
      </c>
      <c r="V30" s="29">
        <f t="shared" si="3"/>
        <v>0</v>
      </c>
      <c r="W30" s="29">
        <f t="shared" si="4"/>
        <v>0</v>
      </c>
      <c r="X30" s="61">
        <f t="shared" si="8"/>
        <v>0</v>
      </c>
      <c r="Y30" s="61"/>
      <c r="Z30" s="61"/>
      <c r="AA30" s="61"/>
      <c r="AB30" s="61"/>
      <c r="AC30" s="61"/>
      <c r="AD30" s="61"/>
      <c r="AE30" s="61">
        <f t="shared" si="6"/>
        <v>0</v>
      </c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49">
        <f t="shared" si="7"/>
        <v>0</v>
      </c>
    </row>
    <row r="31" spans="1:57" ht="15" hidden="1" customHeight="1" x14ac:dyDescent="0.2">
      <c r="A31" s="36">
        <v>20</v>
      </c>
      <c r="B31" s="59"/>
      <c r="C31" s="38"/>
      <c r="D31" s="38" t="e">
        <f>VLOOKUP(C31,Planilha1!$J$2:$L$206,3,)</f>
        <v>#N/A</v>
      </c>
      <c r="E31" s="39"/>
      <c r="F31" s="40"/>
      <c r="G31" s="49"/>
      <c r="H31" s="60">
        <f t="shared" si="0"/>
        <v>0</v>
      </c>
      <c r="I31" s="49">
        <f t="shared" si="1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49">
        <f t="shared" si="2"/>
        <v>0</v>
      </c>
      <c r="V31" s="29">
        <f t="shared" si="3"/>
        <v>0</v>
      </c>
      <c r="W31" s="29">
        <f t="shared" si="4"/>
        <v>0</v>
      </c>
      <c r="X31" s="61">
        <f t="shared" si="8"/>
        <v>0</v>
      </c>
      <c r="Y31" s="61"/>
      <c r="Z31" s="61"/>
      <c r="AA31" s="61"/>
      <c r="AB31" s="61"/>
      <c r="AC31" s="61"/>
      <c r="AD31" s="61"/>
      <c r="AE31" s="49">
        <f t="shared" si="6"/>
        <v>0</v>
      </c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49">
        <f t="shared" si="7"/>
        <v>0</v>
      </c>
    </row>
    <row r="32" spans="1:57" ht="15" hidden="1" customHeight="1" x14ac:dyDescent="0.2">
      <c r="A32" s="36">
        <v>21</v>
      </c>
      <c r="B32" s="59"/>
      <c r="C32" s="38"/>
      <c r="D32" s="38" t="e">
        <f>VLOOKUP(C32,Planilha1!$J$2:$L$206,3,)</f>
        <v>#N/A</v>
      </c>
      <c r="E32" s="39"/>
      <c r="F32" s="40"/>
      <c r="G32" s="49"/>
      <c r="H32" s="60">
        <f t="shared" si="0"/>
        <v>0</v>
      </c>
      <c r="I32" s="49">
        <f t="shared" si="1"/>
        <v>0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49">
        <f t="shared" si="2"/>
        <v>0</v>
      </c>
      <c r="V32" s="29">
        <f t="shared" si="3"/>
        <v>0</v>
      </c>
      <c r="W32" s="29">
        <f t="shared" si="4"/>
        <v>0</v>
      </c>
      <c r="X32" s="61">
        <f t="shared" si="8"/>
        <v>0</v>
      </c>
      <c r="Y32" s="61"/>
      <c r="Z32" s="61"/>
      <c r="AA32" s="61"/>
      <c r="AB32" s="61"/>
      <c r="AC32" s="61"/>
      <c r="AD32" s="61"/>
      <c r="AE32" s="61">
        <f t="shared" si="6"/>
        <v>0</v>
      </c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49">
        <f t="shared" si="7"/>
        <v>0</v>
      </c>
    </row>
    <row r="33" spans="1:57" ht="15" hidden="1" customHeight="1" x14ac:dyDescent="0.2">
      <c r="A33" s="36">
        <v>22</v>
      </c>
      <c r="B33" s="59"/>
      <c r="C33" s="38"/>
      <c r="D33" s="38" t="e">
        <f>VLOOKUP(C33,Planilha1!$J$2:$L$206,3,)</f>
        <v>#N/A</v>
      </c>
      <c r="E33" s="39"/>
      <c r="F33" s="40"/>
      <c r="G33" s="49"/>
      <c r="H33" s="60">
        <f t="shared" si="0"/>
        <v>0</v>
      </c>
      <c r="I33" s="49">
        <f t="shared" si="1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49">
        <f t="shared" si="2"/>
        <v>0</v>
      </c>
      <c r="V33" s="29">
        <f t="shared" si="3"/>
        <v>0</v>
      </c>
      <c r="W33" s="29">
        <f t="shared" si="4"/>
        <v>0</v>
      </c>
      <c r="X33" s="61">
        <f t="shared" si="8"/>
        <v>0</v>
      </c>
      <c r="Y33" s="61"/>
      <c r="Z33" s="61"/>
      <c r="AA33" s="61"/>
      <c r="AB33" s="61"/>
      <c r="AC33" s="61"/>
      <c r="AD33" s="61"/>
      <c r="AE33" s="49">
        <f t="shared" si="6"/>
        <v>0</v>
      </c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49">
        <f t="shared" si="7"/>
        <v>0</v>
      </c>
    </row>
    <row r="34" spans="1:57" ht="15" hidden="1" customHeight="1" x14ac:dyDescent="0.2">
      <c r="A34" s="36">
        <v>23</v>
      </c>
      <c r="B34" s="59"/>
      <c r="C34" s="38"/>
      <c r="D34" s="38" t="e">
        <f>VLOOKUP(C34,Planilha1!$J$2:$L$206,3,)</f>
        <v>#N/A</v>
      </c>
      <c r="E34" s="39"/>
      <c r="F34" s="40"/>
      <c r="G34" s="49"/>
      <c r="H34" s="60">
        <f t="shared" si="0"/>
        <v>0</v>
      </c>
      <c r="I34" s="49">
        <f t="shared" si="1"/>
        <v>0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49">
        <f t="shared" si="2"/>
        <v>0</v>
      </c>
      <c r="V34" s="29">
        <f t="shared" si="3"/>
        <v>0</v>
      </c>
      <c r="W34" s="29">
        <f t="shared" si="4"/>
        <v>0</v>
      </c>
      <c r="X34" s="61">
        <f t="shared" si="8"/>
        <v>0</v>
      </c>
      <c r="Y34" s="61"/>
      <c r="Z34" s="61"/>
      <c r="AA34" s="61"/>
      <c r="AB34" s="61"/>
      <c r="AC34" s="61"/>
      <c r="AD34" s="61"/>
      <c r="AE34" s="61">
        <f t="shared" si="6"/>
        <v>0</v>
      </c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49">
        <f t="shared" si="7"/>
        <v>0</v>
      </c>
    </row>
    <row r="35" spans="1:57" ht="15" hidden="1" customHeight="1" x14ac:dyDescent="0.2">
      <c r="A35" s="36">
        <v>24</v>
      </c>
      <c r="B35" s="59"/>
      <c r="C35" s="38"/>
      <c r="D35" s="38" t="e">
        <f>VLOOKUP(C35,Planilha1!$J$2:$L$206,3,)</f>
        <v>#N/A</v>
      </c>
      <c r="E35" s="39"/>
      <c r="F35" s="40"/>
      <c r="G35" s="49"/>
      <c r="H35" s="60">
        <f t="shared" si="0"/>
        <v>0</v>
      </c>
      <c r="I35" s="49">
        <f t="shared" si="1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49">
        <f t="shared" si="2"/>
        <v>0</v>
      </c>
      <c r="V35" s="29">
        <f t="shared" si="3"/>
        <v>0</v>
      </c>
      <c r="W35" s="29">
        <f t="shared" si="4"/>
        <v>0</v>
      </c>
      <c r="X35" s="61">
        <f t="shared" si="8"/>
        <v>0</v>
      </c>
      <c r="Y35" s="61"/>
      <c r="Z35" s="61"/>
      <c r="AA35" s="61"/>
      <c r="AB35" s="61"/>
      <c r="AC35" s="61"/>
      <c r="AD35" s="61"/>
      <c r="AE35" s="49">
        <f t="shared" si="6"/>
        <v>0</v>
      </c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49">
        <f t="shared" si="7"/>
        <v>0</v>
      </c>
    </row>
    <row r="36" spans="1:57" ht="15" hidden="1" customHeight="1" x14ac:dyDescent="0.2">
      <c r="A36" s="36">
        <v>25</v>
      </c>
      <c r="B36" s="59"/>
      <c r="C36" s="38"/>
      <c r="D36" s="38" t="e">
        <f>VLOOKUP(C36,Planilha1!$J$2:$L$206,3,)</f>
        <v>#N/A</v>
      </c>
      <c r="E36" s="39"/>
      <c r="F36" s="40"/>
      <c r="G36" s="49"/>
      <c r="H36" s="60">
        <f t="shared" si="0"/>
        <v>0</v>
      </c>
      <c r="I36" s="49">
        <f t="shared" si="1"/>
        <v>0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49">
        <f t="shared" si="2"/>
        <v>0</v>
      </c>
      <c r="V36" s="29">
        <f t="shared" si="3"/>
        <v>0</v>
      </c>
      <c r="W36" s="29">
        <f t="shared" si="4"/>
        <v>0</v>
      </c>
      <c r="X36" s="61">
        <f t="shared" si="8"/>
        <v>0</v>
      </c>
      <c r="Y36" s="61"/>
      <c r="Z36" s="61"/>
      <c r="AA36" s="61"/>
      <c r="AB36" s="61"/>
      <c r="AC36" s="61"/>
      <c r="AD36" s="61"/>
      <c r="AE36" s="61">
        <f t="shared" si="6"/>
        <v>0</v>
      </c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49">
        <f t="shared" si="7"/>
        <v>0</v>
      </c>
    </row>
    <row r="37" spans="1:57" ht="15" hidden="1" customHeight="1" x14ac:dyDescent="0.2">
      <c r="A37" s="36">
        <v>26</v>
      </c>
      <c r="B37" s="59"/>
      <c r="C37" s="38"/>
      <c r="D37" s="38" t="e">
        <f>VLOOKUP(C37,Planilha1!$J$2:$L$206,3,)</f>
        <v>#N/A</v>
      </c>
      <c r="E37" s="39"/>
      <c r="F37" s="40"/>
      <c r="G37" s="49"/>
      <c r="H37" s="60">
        <f t="shared" si="0"/>
        <v>0</v>
      </c>
      <c r="I37" s="49">
        <f t="shared" si="1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49">
        <f t="shared" si="2"/>
        <v>0</v>
      </c>
      <c r="V37" s="29">
        <f t="shared" si="3"/>
        <v>0</v>
      </c>
      <c r="W37" s="29">
        <f t="shared" si="4"/>
        <v>0</v>
      </c>
      <c r="X37" s="61">
        <f t="shared" si="8"/>
        <v>0</v>
      </c>
      <c r="Y37" s="61"/>
      <c r="Z37" s="61"/>
      <c r="AA37" s="61"/>
      <c r="AB37" s="61"/>
      <c r="AC37" s="61"/>
      <c r="AD37" s="61"/>
      <c r="AE37" s="49">
        <f t="shared" si="6"/>
        <v>0</v>
      </c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49">
        <f t="shared" si="7"/>
        <v>0</v>
      </c>
    </row>
    <row r="38" spans="1:57" ht="15" hidden="1" customHeight="1" x14ac:dyDescent="0.2">
      <c r="A38" s="36">
        <v>27</v>
      </c>
      <c r="B38" s="59"/>
      <c r="C38" s="38"/>
      <c r="D38" s="38" t="e">
        <f>VLOOKUP(C38,Planilha1!$J$2:$L$206,3,)</f>
        <v>#N/A</v>
      </c>
      <c r="E38" s="39"/>
      <c r="F38" s="40"/>
      <c r="G38" s="49"/>
      <c r="H38" s="60">
        <f t="shared" si="0"/>
        <v>0</v>
      </c>
      <c r="I38" s="49">
        <f t="shared" si="1"/>
        <v>0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49">
        <f t="shared" si="2"/>
        <v>0</v>
      </c>
      <c r="V38" s="29">
        <f t="shared" si="3"/>
        <v>0</v>
      </c>
      <c r="W38" s="29">
        <f t="shared" si="4"/>
        <v>0</v>
      </c>
      <c r="X38" s="61">
        <f t="shared" si="8"/>
        <v>0</v>
      </c>
      <c r="Y38" s="61"/>
      <c r="Z38" s="61"/>
      <c r="AA38" s="61"/>
      <c r="AB38" s="61"/>
      <c r="AC38" s="61"/>
      <c r="AD38" s="61"/>
      <c r="AE38" s="61">
        <f t="shared" si="6"/>
        <v>0</v>
      </c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49">
        <f t="shared" si="7"/>
        <v>0</v>
      </c>
    </row>
    <row r="39" spans="1:57" ht="15" hidden="1" customHeight="1" x14ac:dyDescent="0.2">
      <c r="A39" s="36">
        <v>28</v>
      </c>
      <c r="B39" s="59"/>
      <c r="C39" s="38"/>
      <c r="D39" s="38" t="e">
        <f>VLOOKUP(C39,Planilha1!$J$2:$L$206,3,)</f>
        <v>#N/A</v>
      </c>
      <c r="E39" s="39"/>
      <c r="F39" s="40"/>
      <c r="G39" s="49"/>
      <c r="H39" s="60">
        <f t="shared" si="0"/>
        <v>0</v>
      </c>
      <c r="I39" s="49">
        <f t="shared" si="1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49">
        <f t="shared" si="2"/>
        <v>0</v>
      </c>
      <c r="V39" s="29">
        <f t="shared" si="3"/>
        <v>0</v>
      </c>
      <c r="W39" s="29">
        <f t="shared" si="4"/>
        <v>0</v>
      </c>
      <c r="X39" s="61">
        <f t="shared" si="8"/>
        <v>0</v>
      </c>
      <c r="Y39" s="61"/>
      <c r="Z39" s="61"/>
      <c r="AA39" s="61"/>
      <c r="AB39" s="61"/>
      <c r="AC39" s="61"/>
      <c r="AD39" s="61"/>
      <c r="AE39" s="49">
        <f t="shared" si="6"/>
        <v>0</v>
      </c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49">
        <f t="shared" si="7"/>
        <v>0</v>
      </c>
    </row>
    <row r="40" spans="1:57" ht="15" hidden="1" customHeight="1" x14ac:dyDescent="0.2">
      <c r="A40" s="36">
        <v>29</v>
      </c>
      <c r="B40" s="59"/>
      <c r="C40" s="38"/>
      <c r="D40" s="38" t="e">
        <f>VLOOKUP(C40,Planilha1!$J$2:$L$206,3,)</f>
        <v>#N/A</v>
      </c>
      <c r="E40" s="39"/>
      <c r="F40" s="40"/>
      <c r="G40" s="49"/>
      <c r="H40" s="60">
        <f t="shared" si="0"/>
        <v>0</v>
      </c>
      <c r="I40" s="49">
        <f t="shared" si="1"/>
        <v>0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49">
        <f t="shared" si="2"/>
        <v>0</v>
      </c>
      <c r="V40" s="29">
        <f t="shared" si="3"/>
        <v>0</v>
      </c>
      <c r="W40" s="29">
        <f t="shared" si="4"/>
        <v>0</v>
      </c>
      <c r="X40" s="61">
        <f t="shared" si="8"/>
        <v>0</v>
      </c>
      <c r="Y40" s="61"/>
      <c r="Z40" s="61"/>
      <c r="AA40" s="61"/>
      <c r="AB40" s="61"/>
      <c r="AC40" s="61"/>
      <c r="AD40" s="61"/>
      <c r="AE40" s="61">
        <f t="shared" si="6"/>
        <v>0</v>
      </c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49">
        <f t="shared" si="7"/>
        <v>0</v>
      </c>
    </row>
    <row r="41" spans="1:57" ht="15" hidden="1" customHeight="1" x14ac:dyDescent="0.2">
      <c r="A41" s="36">
        <v>30</v>
      </c>
      <c r="B41" s="59"/>
      <c r="C41" s="38"/>
      <c r="D41" s="38" t="e">
        <f>VLOOKUP(C41,Planilha1!$J$2:$L$206,3,)</f>
        <v>#N/A</v>
      </c>
      <c r="E41" s="39"/>
      <c r="F41" s="40"/>
      <c r="G41" s="49"/>
      <c r="H41" s="60">
        <f t="shared" si="0"/>
        <v>0</v>
      </c>
      <c r="I41" s="49">
        <f t="shared" si="1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49">
        <f t="shared" si="2"/>
        <v>0</v>
      </c>
      <c r="V41" s="29">
        <f t="shared" si="3"/>
        <v>0</v>
      </c>
      <c r="W41" s="29">
        <f t="shared" si="4"/>
        <v>0</v>
      </c>
      <c r="X41" s="61">
        <f t="shared" si="8"/>
        <v>0</v>
      </c>
      <c r="Y41" s="61"/>
      <c r="Z41" s="61"/>
      <c r="AA41" s="61"/>
      <c r="AB41" s="61"/>
      <c r="AC41" s="61"/>
      <c r="AD41" s="61"/>
      <c r="AE41" s="49">
        <f t="shared" si="6"/>
        <v>0</v>
      </c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49">
        <f t="shared" si="7"/>
        <v>0</v>
      </c>
    </row>
    <row r="42" spans="1:57" ht="15" hidden="1" customHeight="1" x14ac:dyDescent="0.2">
      <c r="A42" s="36">
        <v>31</v>
      </c>
      <c r="B42" s="59"/>
      <c r="C42" s="38"/>
      <c r="D42" s="38" t="e">
        <f>VLOOKUP(C42,Planilha1!$J$2:$L$206,3,)</f>
        <v>#N/A</v>
      </c>
      <c r="E42" s="39"/>
      <c r="F42" s="40"/>
      <c r="G42" s="49"/>
      <c r="H42" s="60">
        <f t="shared" si="0"/>
        <v>0</v>
      </c>
      <c r="I42" s="49">
        <f t="shared" si="1"/>
        <v>0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49">
        <f t="shared" si="2"/>
        <v>0</v>
      </c>
      <c r="V42" s="29">
        <f t="shared" si="3"/>
        <v>0</v>
      </c>
      <c r="W42" s="29">
        <f t="shared" si="4"/>
        <v>0</v>
      </c>
      <c r="X42" s="61">
        <f t="shared" si="8"/>
        <v>0</v>
      </c>
      <c r="Y42" s="61"/>
      <c r="Z42" s="61"/>
      <c r="AA42" s="61"/>
      <c r="AB42" s="61"/>
      <c r="AC42" s="61"/>
      <c r="AD42" s="61"/>
      <c r="AE42" s="61">
        <f t="shared" si="6"/>
        <v>0</v>
      </c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49">
        <f t="shared" si="7"/>
        <v>0</v>
      </c>
    </row>
    <row r="43" spans="1:57" ht="15" hidden="1" customHeight="1" x14ac:dyDescent="0.2">
      <c r="A43" s="36">
        <v>32</v>
      </c>
      <c r="B43" s="59"/>
      <c r="C43" s="38"/>
      <c r="D43" s="38" t="e">
        <f>VLOOKUP(C43,Planilha1!$J$2:$L$206,3,)</f>
        <v>#N/A</v>
      </c>
      <c r="E43" s="39"/>
      <c r="F43" s="40"/>
      <c r="G43" s="49"/>
      <c r="H43" s="60">
        <f t="shared" si="0"/>
        <v>0</v>
      </c>
      <c r="I43" s="49">
        <f t="shared" si="1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49">
        <f t="shared" si="2"/>
        <v>0</v>
      </c>
      <c r="V43" s="29">
        <f t="shared" si="3"/>
        <v>0</v>
      </c>
      <c r="W43" s="29">
        <f t="shared" si="4"/>
        <v>0</v>
      </c>
      <c r="X43" s="61">
        <f t="shared" si="8"/>
        <v>0</v>
      </c>
      <c r="Y43" s="61"/>
      <c r="Z43" s="61"/>
      <c r="AA43" s="61"/>
      <c r="AB43" s="61"/>
      <c r="AC43" s="61"/>
      <c r="AD43" s="61"/>
      <c r="AE43" s="49">
        <f t="shared" si="6"/>
        <v>0</v>
      </c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49">
        <f t="shared" si="7"/>
        <v>0</v>
      </c>
    </row>
    <row r="44" spans="1:57" ht="15" hidden="1" customHeight="1" x14ac:dyDescent="0.2">
      <c r="A44" s="36">
        <v>33</v>
      </c>
      <c r="B44" s="59"/>
      <c r="C44" s="38"/>
      <c r="D44" s="38" t="e">
        <f>VLOOKUP(C44,Planilha1!$J$2:$L$206,3,)</f>
        <v>#N/A</v>
      </c>
      <c r="E44" s="39"/>
      <c r="F44" s="40"/>
      <c r="G44" s="49"/>
      <c r="H44" s="60">
        <f t="shared" si="0"/>
        <v>0</v>
      </c>
      <c r="I44" s="49">
        <f t="shared" si="1"/>
        <v>0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49">
        <f t="shared" si="2"/>
        <v>0</v>
      </c>
      <c r="V44" s="29">
        <f t="shared" si="3"/>
        <v>0</v>
      </c>
      <c r="W44" s="29">
        <f t="shared" si="4"/>
        <v>0</v>
      </c>
      <c r="X44" s="61">
        <f t="shared" si="8"/>
        <v>0</v>
      </c>
      <c r="Y44" s="61"/>
      <c r="Z44" s="61"/>
      <c r="AA44" s="61"/>
      <c r="AB44" s="61"/>
      <c r="AC44" s="61"/>
      <c r="AD44" s="61"/>
      <c r="AE44" s="61">
        <f t="shared" si="6"/>
        <v>0</v>
      </c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49">
        <f t="shared" si="7"/>
        <v>0</v>
      </c>
    </row>
    <row r="45" spans="1:57" ht="15" hidden="1" customHeight="1" x14ac:dyDescent="0.2">
      <c r="A45" s="36">
        <v>34</v>
      </c>
      <c r="B45" s="59"/>
      <c r="C45" s="38"/>
      <c r="D45" s="38" t="e">
        <f>VLOOKUP(C45,Planilha1!$J$2:$L$206,3,)</f>
        <v>#N/A</v>
      </c>
      <c r="E45" s="39"/>
      <c r="F45" s="40"/>
      <c r="G45" s="49"/>
      <c r="H45" s="60">
        <f t="shared" si="0"/>
        <v>0</v>
      </c>
      <c r="I45" s="49">
        <f t="shared" si="1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49">
        <f t="shared" si="2"/>
        <v>0</v>
      </c>
      <c r="V45" s="29">
        <f t="shared" si="3"/>
        <v>0</v>
      </c>
      <c r="W45" s="29">
        <f t="shared" si="4"/>
        <v>0</v>
      </c>
      <c r="X45" s="61">
        <f t="shared" si="8"/>
        <v>0</v>
      </c>
      <c r="Y45" s="61"/>
      <c r="Z45" s="61"/>
      <c r="AA45" s="61"/>
      <c r="AB45" s="61"/>
      <c r="AC45" s="61"/>
      <c r="AD45" s="61"/>
      <c r="AE45" s="49">
        <f t="shared" si="6"/>
        <v>0</v>
      </c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49">
        <f t="shared" si="7"/>
        <v>0</v>
      </c>
    </row>
    <row r="46" spans="1:57" ht="15" hidden="1" customHeight="1" x14ac:dyDescent="0.2">
      <c r="A46" s="36">
        <v>35</v>
      </c>
      <c r="B46" s="59"/>
      <c r="C46" s="38"/>
      <c r="D46" s="38" t="e">
        <f>VLOOKUP(C46,Planilha1!$J$2:$L$206,3,)</f>
        <v>#N/A</v>
      </c>
      <c r="E46" s="39"/>
      <c r="F46" s="40"/>
      <c r="G46" s="49"/>
      <c r="H46" s="60">
        <f t="shared" si="0"/>
        <v>0</v>
      </c>
      <c r="I46" s="49">
        <f t="shared" si="1"/>
        <v>0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49">
        <f t="shared" si="2"/>
        <v>0</v>
      </c>
      <c r="V46" s="29">
        <f t="shared" si="3"/>
        <v>0</v>
      </c>
      <c r="W46" s="29">
        <f t="shared" si="4"/>
        <v>0</v>
      </c>
      <c r="X46" s="61">
        <f t="shared" si="8"/>
        <v>0</v>
      </c>
      <c r="Y46" s="61"/>
      <c r="Z46" s="61"/>
      <c r="AA46" s="61"/>
      <c r="AB46" s="61"/>
      <c r="AC46" s="61"/>
      <c r="AD46" s="61"/>
      <c r="AE46" s="61">
        <f t="shared" si="6"/>
        <v>0</v>
      </c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49">
        <f t="shared" si="7"/>
        <v>0</v>
      </c>
    </row>
    <row r="47" spans="1:57" ht="15" hidden="1" customHeight="1" x14ac:dyDescent="0.2">
      <c r="A47" s="36">
        <v>36</v>
      </c>
      <c r="B47" s="59"/>
      <c r="C47" s="38"/>
      <c r="D47" s="38" t="e">
        <f>VLOOKUP(C47,Planilha1!$J$2:$L$206,3,)</f>
        <v>#N/A</v>
      </c>
      <c r="E47" s="39"/>
      <c r="F47" s="40"/>
      <c r="G47" s="49"/>
      <c r="H47" s="60">
        <f t="shared" si="0"/>
        <v>0</v>
      </c>
      <c r="I47" s="49">
        <f t="shared" si="1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49">
        <f t="shared" si="2"/>
        <v>0</v>
      </c>
      <c r="V47" s="29">
        <f t="shared" si="3"/>
        <v>0</v>
      </c>
      <c r="W47" s="29">
        <f t="shared" si="4"/>
        <v>0</v>
      </c>
      <c r="X47" s="61">
        <f t="shared" si="8"/>
        <v>0</v>
      </c>
      <c r="Y47" s="61"/>
      <c r="Z47" s="61"/>
      <c r="AA47" s="61"/>
      <c r="AB47" s="61"/>
      <c r="AC47" s="61"/>
      <c r="AD47" s="61"/>
      <c r="AE47" s="49">
        <f t="shared" si="6"/>
        <v>0</v>
      </c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49">
        <f t="shared" si="7"/>
        <v>0</v>
      </c>
    </row>
    <row r="48" spans="1:57" ht="15" hidden="1" customHeight="1" x14ac:dyDescent="0.2">
      <c r="A48" s="36">
        <v>37</v>
      </c>
      <c r="B48" s="59"/>
      <c r="C48" s="38"/>
      <c r="D48" s="38" t="e">
        <f>VLOOKUP(C48,Planilha1!$J$2:$L$206,3,)</f>
        <v>#N/A</v>
      </c>
      <c r="E48" s="39"/>
      <c r="F48" s="40"/>
      <c r="G48" s="49"/>
      <c r="H48" s="60">
        <f t="shared" si="0"/>
        <v>0</v>
      </c>
      <c r="I48" s="49">
        <f t="shared" si="1"/>
        <v>0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49">
        <f t="shared" si="2"/>
        <v>0</v>
      </c>
      <c r="V48" s="29">
        <f t="shared" si="3"/>
        <v>0</v>
      </c>
      <c r="W48" s="29">
        <f t="shared" si="4"/>
        <v>0</v>
      </c>
      <c r="X48" s="61">
        <f t="shared" si="8"/>
        <v>0</v>
      </c>
      <c r="Y48" s="61"/>
      <c r="Z48" s="61"/>
      <c r="AA48" s="61"/>
      <c r="AB48" s="61"/>
      <c r="AC48" s="61"/>
      <c r="AD48" s="61"/>
      <c r="AE48" s="61">
        <f t="shared" si="6"/>
        <v>0</v>
      </c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49">
        <f t="shared" si="7"/>
        <v>0</v>
      </c>
    </row>
    <row r="49" spans="1:57" ht="15" hidden="1" customHeight="1" x14ac:dyDescent="0.2">
      <c r="A49" s="36">
        <v>38</v>
      </c>
      <c r="B49" s="59"/>
      <c r="C49" s="38"/>
      <c r="D49" s="38" t="e">
        <f>VLOOKUP(C49,Planilha1!$J$2:$L$206,3,)</f>
        <v>#N/A</v>
      </c>
      <c r="E49" s="39"/>
      <c r="F49" s="40"/>
      <c r="G49" s="49"/>
      <c r="H49" s="60">
        <f t="shared" si="0"/>
        <v>0</v>
      </c>
      <c r="I49" s="49">
        <f t="shared" si="1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49">
        <f t="shared" si="2"/>
        <v>0</v>
      </c>
      <c r="V49" s="29">
        <f t="shared" si="3"/>
        <v>0</v>
      </c>
      <c r="W49" s="29">
        <f t="shared" si="4"/>
        <v>0</v>
      </c>
      <c r="X49" s="61">
        <f t="shared" si="8"/>
        <v>0</v>
      </c>
      <c r="Y49" s="61"/>
      <c r="Z49" s="61"/>
      <c r="AA49" s="61"/>
      <c r="AB49" s="61"/>
      <c r="AC49" s="61"/>
      <c r="AD49" s="61"/>
      <c r="AE49" s="49">
        <f t="shared" si="6"/>
        <v>0</v>
      </c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49">
        <f t="shared" si="7"/>
        <v>0</v>
      </c>
    </row>
    <row r="50" spans="1:57" ht="15" hidden="1" customHeight="1" x14ac:dyDescent="0.2">
      <c r="A50" s="36">
        <v>39</v>
      </c>
      <c r="B50" s="59"/>
      <c r="C50" s="38"/>
      <c r="D50" s="38" t="e">
        <f>VLOOKUP(C50,Planilha1!$J$2:$L$206,3,)</f>
        <v>#N/A</v>
      </c>
      <c r="E50" s="39"/>
      <c r="F50" s="40"/>
      <c r="G50" s="49"/>
      <c r="H50" s="60">
        <f t="shared" si="0"/>
        <v>0</v>
      </c>
      <c r="I50" s="49">
        <f t="shared" si="1"/>
        <v>0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49">
        <f t="shared" si="2"/>
        <v>0</v>
      </c>
      <c r="V50" s="29">
        <f t="shared" si="3"/>
        <v>0</v>
      </c>
      <c r="W50" s="29">
        <f t="shared" si="4"/>
        <v>0</v>
      </c>
      <c r="X50" s="61">
        <f t="shared" si="8"/>
        <v>0</v>
      </c>
      <c r="Y50" s="61"/>
      <c r="Z50" s="61"/>
      <c r="AA50" s="61"/>
      <c r="AB50" s="61"/>
      <c r="AC50" s="61"/>
      <c r="AD50" s="61"/>
      <c r="AE50" s="61">
        <f t="shared" si="6"/>
        <v>0</v>
      </c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49">
        <f t="shared" si="7"/>
        <v>0</v>
      </c>
    </row>
    <row r="51" spans="1:57" ht="15" hidden="1" customHeight="1" x14ac:dyDescent="0.2">
      <c r="A51" s="36">
        <v>40</v>
      </c>
      <c r="B51" s="59"/>
      <c r="C51" s="38"/>
      <c r="D51" s="38" t="e">
        <f>VLOOKUP(C51,Planilha1!$J$2:$L$206,3,)</f>
        <v>#N/A</v>
      </c>
      <c r="E51" s="39"/>
      <c r="F51" s="40"/>
      <c r="G51" s="49"/>
      <c r="H51" s="60">
        <f t="shared" si="0"/>
        <v>0</v>
      </c>
      <c r="I51" s="49">
        <f t="shared" si="1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49">
        <f t="shared" si="2"/>
        <v>0</v>
      </c>
      <c r="V51" s="29">
        <f t="shared" si="3"/>
        <v>0</v>
      </c>
      <c r="W51" s="29">
        <f t="shared" si="4"/>
        <v>0</v>
      </c>
      <c r="X51" s="61">
        <f t="shared" si="8"/>
        <v>0</v>
      </c>
      <c r="Y51" s="61"/>
      <c r="Z51" s="61"/>
      <c r="AA51" s="61"/>
      <c r="AB51" s="61"/>
      <c r="AC51" s="61"/>
      <c r="AD51" s="61"/>
      <c r="AE51" s="49">
        <f t="shared" si="6"/>
        <v>0</v>
      </c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49">
        <f t="shared" si="7"/>
        <v>0</v>
      </c>
    </row>
    <row r="52" spans="1:57" ht="15" hidden="1" customHeight="1" x14ac:dyDescent="0.2">
      <c r="A52" s="36">
        <v>41</v>
      </c>
      <c r="B52" s="59"/>
      <c r="C52" s="38"/>
      <c r="D52" s="38" t="e">
        <f>VLOOKUP(C52,Planilha1!$J$2:$L$206,3,)</f>
        <v>#N/A</v>
      </c>
      <c r="E52" s="39"/>
      <c r="F52" s="40"/>
      <c r="G52" s="49"/>
      <c r="H52" s="60">
        <f t="shared" si="0"/>
        <v>0</v>
      </c>
      <c r="I52" s="49">
        <f t="shared" si="1"/>
        <v>0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49">
        <f t="shared" si="2"/>
        <v>0</v>
      </c>
      <c r="V52" s="29">
        <f t="shared" si="3"/>
        <v>0</v>
      </c>
      <c r="W52" s="29">
        <f t="shared" si="4"/>
        <v>0</v>
      </c>
      <c r="X52" s="61">
        <f t="shared" si="8"/>
        <v>0</v>
      </c>
      <c r="Y52" s="61"/>
      <c r="Z52" s="61"/>
      <c r="AA52" s="61"/>
      <c r="AB52" s="61"/>
      <c r="AC52" s="61"/>
      <c r="AD52" s="61"/>
      <c r="AE52" s="61">
        <f t="shared" si="6"/>
        <v>0</v>
      </c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49">
        <f t="shared" si="7"/>
        <v>0</v>
      </c>
    </row>
    <row r="53" spans="1:57" ht="15" hidden="1" customHeight="1" x14ac:dyDescent="0.2">
      <c r="A53" s="36">
        <v>42</v>
      </c>
      <c r="B53" s="59"/>
      <c r="C53" s="38"/>
      <c r="D53" s="38" t="e">
        <f>VLOOKUP(C53,Planilha1!$J$2:$L$206,3,)</f>
        <v>#N/A</v>
      </c>
      <c r="E53" s="39"/>
      <c r="F53" s="40"/>
      <c r="G53" s="49"/>
      <c r="H53" s="60">
        <f t="shared" si="0"/>
        <v>0</v>
      </c>
      <c r="I53" s="49">
        <f t="shared" si="1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49">
        <f t="shared" si="2"/>
        <v>0</v>
      </c>
      <c r="V53" s="29">
        <f t="shared" si="3"/>
        <v>0</v>
      </c>
      <c r="W53" s="29">
        <f t="shared" si="4"/>
        <v>0</v>
      </c>
      <c r="X53" s="61">
        <f t="shared" si="8"/>
        <v>0</v>
      </c>
      <c r="Y53" s="61"/>
      <c r="Z53" s="61"/>
      <c r="AA53" s="61"/>
      <c r="AB53" s="61"/>
      <c r="AC53" s="61"/>
      <c r="AD53" s="61"/>
      <c r="AE53" s="49">
        <f t="shared" si="6"/>
        <v>0</v>
      </c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49">
        <f t="shared" si="7"/>
        <v>0</v>
      </c>
    </row>
    <row r="54" spans="1:57" ht="15" hidden="1" customHeight="1" x14ac:dyDescent="0.2">
      <c r="A54" s="36">
        <v>43</v>
      </c>
      <c r="B54" s="59"/>
      <c r="C54" s="38"/>
      <c r="D54" s="38" t="e">
        <f>VLOOKUP(C54,Planilha1!$J$2:$L$206,3,)</f>
        <v>#N/A</v>
      </c>
      <c r="E54" s="39"/>
      <c r="F54" s="40"/>
      <c r="G54" s="49"/>
      <c r="H54" s="60">
        <f t="shared" si="0"/>
        <v>0</v>
      </c>
      <c r="I54" s="49">
        <f t="shared" si="1"/>
        <v>0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49">
        <f t="shared" si="2"/>
        <v>0</v>
      </c>
      <c r="V54" s="29">
        <f t="shared" si="3"/>
        <v>0</v>
      </c>
      <c r="W54" s="29">
        <f t="shared" si="4"/>
        <v>0</v>
      </c>
      <c r="X54" s="61">
        <f t="shared" si="8"/>
        <v>0</v>
      </c>
      <c r="Y54" s="61"/>
      <c r="Z54" s="61"/>
      <c r="AA54" s="61"/>
      <c r="AB54" s="61"/>
      <c r="AC54" s="61"/>
      <c r="AD54" s="61"/>
      <c r="AE54" s="61">
        <f t="shared" si="6"/>
        <v>0</v>
      </c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49">
        <f t="shared" si="7"/>
        <v>0</v>
      </c>
    </row>
    <row r="55" spans="1:57" ht="15" hidden="1" customHeight="1" x14ac:dyDescent="0.2">
      <c r="A55" s="36">
        <v>44</v>
      </c>
      <c r="B55" s="59"/>
      <c r="C55" s="38"/>
      <c r="D55" s="38" t="e">
        <f>VLOOKUP(C55,Planilha1!$J$2:$L$206,3,)</f>
        <v>#N/A</v>
      </c>
      <c r="E55" s="39"/>
      <c r="F55" s="40"/>
      <c r="G55" s="49"/>
      <c r="H55" s="60">
        <f t="shared" si="0"/>
        <v>0</v>
      </c>
      <c r="I55" s="49">
        <f t="shared" si="1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49">
        <f t="shared" si="2"/>
        <v>0</v>
      </c>
      <c r="V55" s="29">
        <f t="shared" si="3"/>
        <v>0</v>
      </c>
      <c r="W55" s="29">
        <f t="shared" si="4"/>
        <v>0</v>
      </c>
      <c r="X55" s="61">
        <f t="shared" si="8"/>
        <v>0</v>
      </c>
      <c r="Y55" s="61"/>
      <c r="Z55" s="61"/>
      <c r="AA55" s="61"/>
      <c r="AB55" s="61"/>
      <c r="AC55" s="61"/>
      <c r="AD55" s="61"/>
      <c r="AE55" s="49">
        <f t="shared" si="6"/>
        <v>0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49">
        <f t="shared" si="7"/>
        <v>0</v>
      </c>
    </row>
    <row r="56" spans="1:57" ht="15" hidden="1" customHeight="1" x14ac:dyDescent="0.2">
      <c r="A56" s="36">
        <v>45</v>
      </c>
      <c r="B56" s="59"/>
      <c r="C56" s="38"/>
      <c r="D56" s="38" t="e">
        <f>VLOOKUP(C56,Planilha1!$J$2:$L$206,3,)</f>
        <v>#N/A</v>
      </c>
      <c r="E56" s="39"/>
      <c r="F56" s="40"/>
      <c r="G56" s="49"/>
      <c r="H56" s="60">
        <f t="shared" si="0"/>
        <v>0</v>
      </c>
      <c r="I56" s="49">
        <f t="shared" si="1"/>
        <v>0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49">
        <f t="shared" si="2"/>
        <v>0</v>
      </c>
      <c r="V56" s="29">
        <f t="shared" si="3"/>
        <v>0</v>
      </c>
      <c r="W56" s="29">
        <f t="shared" si="4"/>
        <v>0</v>
      </c>
      <c r="X56" s="61">
        <f t="shared" si="8"/>
        <v>0</v>
      </c>
      <c r="Y56" s="61"/>
      <c r="Z56" s="61"/>
      <c r="AA56" s="61"/>
      <c r="AB56" s="61"/>
      <c r="AC56" s="61"/>
      <c r="AD56" s="61"/>
      <c r="AE56" s="61">
        <f t="shared" si="6"/>
        <v>0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49">
        <f t="shared" si="7"/>
        <v>0</v>
      </c>
    </row>
    <row r="57" spans="1:57" ht="15" hidden="1" customHeight="1" x14ac:dyDescent="0.2">
      <c r="A57" s="36">
        <v>46</v>
      </c>
      <c r="B57" s="59"/>
      <c r="C57" s="38"/>
      <c r="D57" s="38" t="e">
        <f>VLOOKUP(C57,Planilha1!$J$2:$L$206,3,)</f>
        <v>#N/A</v>
      </c>
      <c r="E57" s="39"/>
      <c r="F57" s="40"/>
      <c r="G57" s="49"/>
      <c r="H57" s="60">
        <f t="shared" si="0"/>
        <v>0</v>
      </c>
      <c r="I57" s="49">
        <f t="shared" si="1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49">
        <f t="shared" si="2"/>
        <v>0</v>
      </c>
      <c r="V57" s="29">
        <f t="shared" si="3"/>
        <v>0</v>
      </c>
      <c r="W57" s="29">
        <f t="shared" si="4"/>
        <v>0</v>
      </c>
      <c r="X57" s="61">
        <f t="shared" si="8"/>
        <v>0</v>
      </c>
      <c r="Y57" s="61"/>
      <c r="Z57" s="61"/>
      <c r="AA57" s="61"/>
      <c r="AB57" s="61"/>
      <c r="AC57" s="61"/>
      <c r="AD57" s="61"/>
      <c r="AE57" s="49">
        <f t="shared" si="6"/>
        <v>0</v>
      </c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49">
        <f t="shared" si="7"/>
        <v>0</v>
      </c>
    </row>
    <row r="58" spans="1:57" ht="15" hidden="1" customHeight="1" x14ac:dyDescent="0.2">
      <c r="A58" s="36">
        <v>47</v>
      </c>
      <c r="B58" s="59"/>
      <c r="C58" s="38"/>
      <c r="D58" s="38" t="e">
        <f>VLOOKUP(C58,Planilha1!$J$2:$L$206,3,)</f>
        <v>#N/A</v>
      </c>
      <c r="E58" s="39"/>
      <c r="F58" s="40"/>
      <c r="G58" s="49"/>
      <c r="H58" s="60">
        <f t="shared" si="0"/>
        <v>0</v>
      </c>
      <c r="I58" s="49">
        <f t="shared" si="1"/>
        <v>0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49">
        <f t="shared" si="2"/>
        <v>0</v>
      </c>
      <c r="V58" s="29">
        <f t="shared" si="3"/>
        <v>0</v>
      </c>
      <c r="W58" s="29">
        <f t="shared" si="4"/>
        <v>0</v>
      </c>
      <c r="X58" s="61">
        <f t="shared" si="8"/>
        <v>0</v>
      </c>
      <c r="Y58" s="61"/>
      <c r="Z58" s="61"/>
      <c r="AA58" s="61"/>
      <c r="AB58" s="61"/>
      <c r="AC58" s="61"/>
      <c r="AD58" s="61"/>
      <c r="AE58" s="61">
        <f t="shared" si="6"/>
        <v>0</v>
      </c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49">
        <f t="shared" si="7"/>
        <v>0</v>
      </c>
    </row>
    <row r="59" spans="1:57" ht="15" hidden="1" customHeight="1" x14ac:dyDescent="0.2">
      <c r="A59" s="36">
        <v>48</v>
      </c>
      <c r="B59" s="59"/>
      <c r="C59" s="38"/>
      <c r="D59" s="38" t="e">
        <f>VLOOKUP(C59,Planilha1!$J$2:$L$206,3,)</f>
        <v>#N/A</v>
      </c>
      <c r="E59" s="39"/>
      <c r="F59" s="40"/>
      <c r="G59" s="49"/>
      <c r="H59" s="60">
        <f t="shared" si="0"/>
        <v>0</v>
      </c>
      <c r="I59" s="49">
        <f t="shared" si="1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9">
        <f t="shared" si="2"/>
        <v>0</v>
      </c>
      <c r="V59" s="29">
        <f t="shared" si="3"/>
        <v>0</v>
      </c>
      <c r="W59" s="29">
        <f t="shared" si="4"/>
        <v>0</v>
      </c>
      <c r="X59" s="61">
        <f t="shared" si="8"/>
        <v>0</v>
      </c>
      <c r="Y59" s="61"/>
      <c r="Z59" s="61"/>
      <c r="AA59" s="61"/>
      <c r="AB59" s="61"/>
      <c r="AC59" s="61"/>
      <c r="AD59" s="61"/>
      <c r="AE59" s="49">
        <f t="shared" si="6"/>
        <v>0</v>
      </c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49">
        <f t="shared" si="7"/>
        <v>0</v>
      </c>
    </row>
    <row r="60" spans="1:57" ht="15" hidden="1" customHeight="1" x14ac:dyDescent="0.2">
      <c r="A60" s="36">
        <v>49</v>
      </c>
      <c r="B60" s="59"/>
      <c r="C60" s="38"/>
      <c r="D60" s="38" t="e">
        <f>VLOOKUP(C60,Planilha1!$J$2:$L$206,3,)</f>
        <v>#N/A</v>
      </c>
      <c r="E60" s="39"/>
      <c r="F60" s="40"/>
      <c r="G60" s="49"/>
      <c r="H60" s="60">
        <f t="shared" si="0"/>
        <v>0</v>
      </c>
      <c r="I60" s="49">
        <f t="shared" si="1"/>
        <v>0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49">
        <f t="shared" si="2"/>
        <v>0</v>
      </c>
      <c r="V60" s="29">
        <f t="shared" si="3"/>
        <v>0</v>
      </c>
      <c r="W60" s="29">
        <f t="shared" si="4"/>
        <v>0</v>
      </c>
      <c r="X60" s="61">
        <f t="shared" si="8"/>
        <v>0</v>
      </c>
      <c r="Y60" s="61"/>
      <c r="Z60" s="61"/>
      <c r="AA60" s="61"/>
      <c r="AB60" s="61"/>
      <c r="AC60" s="61"/>
      <c r="AD60" s="61"/>
      <c r="AE60" s="61">
        <f t="shared" si="6"/>
        <v>0</v>
      </c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49">
        <f t="shared" si="7"/>
        <v>0</v>
      </c>
    </row>
    <row r="61" spans="1:57" ht="15" hidden="1" customHeight="1" x14ac:dyDescent="0.2">
      <c r="A61" s="36">
        <v>50</v>
      </c>
      <c r="B61" s="59"/>
      <c r="C61" s="38"/>
      <c r="D61" s="38" t="e">
        <f>VLOOKUP(C61,Planilha1!$J$2:$L$206,3,)</f>
        <v>#N/A</v>
      </c>
      <c r="E61" s="39"/>
      <c r="F61" s="40"/>
      <c r="G61" s="49"/>
      <c r="H61" s="60">
        <f t="shared" si="0"/>
        <v>0</v>
      </c>
      <c r="I61" s="49">
        <f t="shared" si="1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49">
        <f t="shared" si="2"/>
        <v>0</v>
      </c>
      <c r="V61" s="29">
        <f t="shared" si="3"/>
        <v>0</v>
      </c>
      <c r="W61" s="29">
        <f t="shared" si="4"/>
        <v>0</v>
      </c>
      <c r="X61" s="61">
        <f t="shared" si="8"/>
        <v>0</v>
      </c>
      <c r="Y61" s="61"/>
      <c r="Z61" s="61"/>
      <c r="AA61" s="61"/>
      <c r="AB61" s="61"/>
      <c r="AC61" s="61"/>
      <c r="AD61" s="61"/>
      <c r="AE61" s="49">
        <f t="shared" si="6"/>
        <v>0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49">
        <f t="shared" si="7"/>
        <v>0</v>
      </c>
    </row>
    <row r="62" spans="1:57" ht="15" hidden="1" customHeight="1" x14ac:dyDescent="0.2">
      <c r="A62" s="36">
        <v>51</v>
      </c>
      <c r="B62" s="59"/>
      <c r="C62" s="38"/>
      <c r="D62" s="38" t="e">
        <f>VLOOKUP(C62,Planilha1!$J$2:$L$206,3,)</f>
        <v>#N/A</v>
      </c>
      <c r="E62" s="39"/>
      <c r="F62" s="40"/>
      <c r="G62" s="49"/>
      <c r="H62" s="60">
        <f t="shared" si="0"/>
        <v>0</v>
      </c>
      <c r="I62" s="49">
        <f t="shared" si="1"/>
        <v>0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49">
        <f t="shared" si="2"/>
        <v>0</v>
      </c>
      <c r="V62" s="29">
        <f t="shared" si="3"/>
        <v>0</v>
      </c>
      <c r="W62" s="29">
        <f t="shared" si="4"/>
        <v>0</v>
      </c>
      <c r="X62" s="61">
        <f t="shared" si="8"/>
        <v>0</v>
      </c>
      <c r="Y62" s="61"/>
      <c r="Z62" s="61"/>
      <c r="AA62" s="61"/>
      <c r="AB62" s="61"/>
      <c r="AC62" s="61"/>
      <c r="AD62" s="61"/>
      <c r="AE62" s="61">
        <f t="shared" si="6"/>
        <v>0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49">
        <f t="shared" si="7"/>
        <v>0</v>
      </c>
    </row>
    <row r="63" spans="1:57" ht="15" hidden="1" customHeight="1" x14ac:dyDescent="0.2">
      <c r="A63" s="36">
        <v>52</v>
      </c>
      <c r="B63" s="59"/>
      <c r="C63" s="38"/>
      <c r="D63" s="38" t="e">
        <f>VLOOKUP(C63,Planilha1!$J$2:$L$206,3,)</f>
        <v>#N/A</v>
      </c>
      <c r="E63" s="39"/>
      <c r="F63" s="40"/>
      <c r="G63" s="49"/>
      <c r="H63" s="60">
        <f t="shared" si="0"/>
        <v>0</v>
      </c>
      <c r="I63" s="49">
        <f t="shared" si="1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49">
        <f t="shared" si="2"/>
        <v>0</v>
      </c>
      <c r="V63" s="29">
        <f t="shared" si="3"/>
        <v>0</v>
      </c>
      <c r="W63" s="29">
        <f t="shared" si="4"/>
        <v>0</v>
      </c>
      <c r="X63" s="61">
        <f t="shared" si="8"/>
        <v>0</v>
      </c>
      <c r="Y63" s="61"/>
      <c r="Z63" s="61"/>
      <c r="AA63" s="61"/>
      <c r="AB63" s="61"/>
      <c r="AC63" s="61"/>
      <c r="AD63" s="61"/>
      <c r="AE63" s="49">
        <f t="shared" si="6"/>
        <v>0</v>
      </c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49">
        <f t="shared" si="7"/>
        <v>0</v>
      </c>
    </row>
    <row r="64" spans="1:57" ht="15" hidden="1" customHeight="1" x14ac:dyDescent="0.2">
      <c r="A64" s="36">
        <v>53</v>
      </c>
      <c r="B64" s="59"/>
      <c r="C64" s="38"/>
      <c r="D64" s="38" t="e">
        <f>VLOOKUP(C64,Planilha1!$J$2:$L$206,3,)</f>
        <v>#N/A</v>
      </c>
      <c r="E64" s="39"/>
      <c r="F64" s="40"/>
      <c r="G64" s="49"/>
      <c r="H64" s="60">
        <f t="shared" si="0"/>
        <v>0</v>
      </c>
      <c r="I64" s="49">
        <f t="shared" si="1"/>
        <v>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49">
        <f t="shared" si="2"/>
        <v>0</v>
      </c>
      <c r="V64" s="29">
        <f t="shared" si="3"/>
        <v>0</v>
      </c>
      <c r="W64" s="29">
        <f t="shared" si="4"/>
        <v>0</v>
      </c>
      <c r="X64" s="61">
        <f t="shared" si="8"/>
        <v>0</v>
      </c>
      <c r="Y64" s="61"/>
      <c r="Z64" s="61"/>
      <c r="AA64" s="61"/>
      <c r="AB64" s="61"/>
      <c r="AC64" s="61"/>
      <c r="AD64" s="61"/>
      <c r="AE64" s="61">
        <f t="shared" si="6"/>
        <v>0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49">
        <f t="shared" si="7"/>
        <v>0</v>
      </c>
    </row>
    <row r="65" spans="1:57" ht="15" hidden="1" customHeight="1" x14ac:dyDescent="0.2">
      <c r="A65" s="36">
        <v>54</v>
      </c>
      <c r="B65" s="59"/>
      <c r="C65" s="38"/>
      <c r="D65" s="38" t="e">
        <f>VLOOKUP(C65,Planilha1!$J$2:$L$206,3,)</f>
        <v>#N/A</v>
      </c>
      <c r="E65" s="39"/>
      <c r="F65" s="40"/>
      <c r="G65" s="49"/>
      <c r="H65" s="60">
        <f t="shared" si="0"/>
        <v>0</v>
      </c>
      <c r="I65" s="49">
        <f t="shared" si="1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49">
        <f t="shared" si="2"/>
        <v>0</v>
      </c>
      <c r="V65" s="29">
        <f t="shared" si="3"/>
        <v>0</v>
      </c>
      <c r="W65" s="29">
        <f t="shared" si="4"/>
        <v>0</v>
      </c>
      <c r="X65" s="61">
        <f t="shared" si="8"/>
        <v>0</v>
      </c>
      <c r="Y65" s="61"/>
      <c r="Z65" s="61"/>
      <c r="AA65" s="61"/>
      <c r="AB65" s="61"/>
      <c r="AC65" s="61"/>
      <c r="AD65" s="61"/>
      <c r="AE65" s="49">
        <f t="shared" si="6"/>
        <v>0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49">
        <f t="shared" si="7"/>
        <v>0</v>
      </c>
    </row>
    <row r="66" spans="1:57" ht="15" hidden="1" customHeight="1" x14ac:dyDescent="0.2">
      <c r="A66" s="36">
        <v>55</v>
      </c>
      <c r="B66" s="59"/>
      <c r="C66" s="38"/>
      <c r="D66" s="38" t="e">
        <f>VLOOKUP(C66,Planilha1!$J$2:$L$206,3,)</f>
        <v>#N/A</v>
      </c>
      <c r="E66" s="39"/>
      <c r="F66" s="40"/>
      <c r="G66" s="49"/>
      <c r="H66" s="60">
        <f t="shared" si="0"/>
        <v>0</v>
      </c>
      <c r="I66" s="49">
        <f t="shared" si="1"/>
        <v>0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49">
        <f t="shared" si="2"/>
        <v>0</v>
      </c>
      <c r="V66" s="29">
        <f t="shared" si="3"/>
        <v>0</v>
      </c>
      <c r="W66" s="29">
        <f t="shared" si="4"/>
        <v>0</v>
      </c>
      <c r="X66" s="61">
        <f t="shared" si="8"/>
        <v>0</v>
      </c>
      <c r="Y66" s="61"/>
      <c r="Z66" s="61"/>
      <c r="AA66" s="61"/>
      <c r="AB66" s="61"/>
      <c r="AC66" s="61"/>
      <c r="AD66" s="61"/>
      <c r="AE66" s="61">
        <f t="shared" si="6"/>
        <v>0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49">
        <f t="shared" si="7"/>
        <v>0</v>
      </c>
    </row>
    <row r="67" spans="1:57" ht="15" hidden="1" customHeight="1" x14ac:dyDescent="0.2">
      <c r="A67" s="36">
        <v>56</v>
      </c>
      <c r="B67" s="59"/>
      <c r="C67" s="38"/>
      <c r="D67" s="38" t="e">
        <f>VLOOKUP(C67,Planilha1!$J$2:$L$206,3,)</f>
        <v>#N/A</v>
      </c>
      <c r="E67" s="39"/>
      <c r="F67" s="40"/>
      <c r="G67" s="49"/>
      <c r="H67" s="60">
        <f t="shared" si="0"/>
        <v>0</v>
      </c>
      <c r="I67" s="49">
        <f t="shared" si="1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49">
        <f t="shared" si="2"/>
        <v>0</v>
      </c>
      <c r="V67" s="29">
        <f t="shared" si="3"/>
        <v>0</v>
      </c>
      <c r="W67" s="29">
        <f t="shared" si="4"/>
        <v>0</v>
      </c>
      <c r="X67" s="61">
        <f t="shared" si="8"/>
        <v>0</v>
      </c>
      <c r="Y67" s="61"/>
      <c r="Z67" s="61"/>
      <c r="AA67" s="61"/>
      <c r="AB67" s="61"/>
      <c r="AC67" s="61"/>
      <c r="AD67" s="61"/>
      <c r="AE67" s="49">
        <f t="shared" si="6"/>
        <v>0</v>
      </c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49">
        <f t="shared" si="7"/>
        <v>0</v>
      </c>
    </row>
    <row r="68" spans="1:57" ht="15" hidden="1" customHeight="1" x14ac:dyDescent="0.2">
      <c r="A68" s="36">
        <v>57</v>
      </c>
      <c r="B68" s="59"/>
      <c r="C68" s="38"/>
      <c r="D68" s="38" t="e">
        <f>VLOOKUP(C68,Planilha1!$J$2:$L$206,3,)</f>
        <v>#N/A</v>
      </c>
      <c r="E68" s="39"/>
      <c r="F68" s="40"/>
      <c r="G68" s="49"/>
      <c r="H68" s="60">
        <f t="shared" si="0"/>
        <v>0</v>
      </c>
      <c r="I68" s="49">
        <f t="shared" si="1"/>
        <v>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49">
        <f t="shared" si="2"/>
        <v>0</v>
      </c>
      <c r="V68" s="29">
        <f t="shared" si="3"/>
        <v>0</v>
      </c>
      <c r="W68" s="29">
        <f t="shared" si="4"/>
        <v>0</v>
      </c>
      <c r="X68" s="61">
        <f t="shared" si="8"/>
        <v>0</v>
      </c>
      <c r="Y68" s="61"/>
      <c r="Z68" s="61"/>
      <c r="AA68" s="61"/>
      <c r="AB68" s="61"/>
      <c r="AC68" s="61"/>
      <c r="AD68" s="61"/>
      <c r="AE68" s="61">
        <f t="shared" si="6"/>
        <v>0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49">
        <f t="shared" si="7"/>
        <v>0</v>
      </c>
    </row>
    <row r="69" spans="1:57" ht="15" hidden="1" customHeight="1" x14ac:dyDescent="0.2">
      <c r="A69" s="36">
        <v>58</v>
      </c>
      <c r="B69" s="59"/>
      <c r="C69" s="38"/>
      <c r="D69" s="38" t="e">
        <f>VLOOKUP(C69,Planilha1!$J$2:$L$206,3,)</f>
        <v>#N/A</v>
      </c>
      <c r="E69" s="39"/>
      <c r="F69" s="40"/>
      <c r="G69" s="49"/>
      <c r="H69" s="60">
        <f t="shared" si="0"/>
        <v>0</v>
      </c>
      <c r="I69" s="49">
        <f t="shared" si="1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49">
        <f t="shared" si="2"/>
        <v>0</v>
      </c>
      <c r="V69" s="29">
        <f t="shared" si="3"/>
        <v>0</v>
      </c>
      <c r="W69" s="29">
        <f t="shared" si="4"/>
        <v>0</v>
      </c>
      <c r="X69" s="61">
        <f t="shared" si="8"/>
        <v>0</v>
      </c>
      <c r="Y69" s="61"/>
      <c r="Z69" s="61"/>
      <c r="AA69" s="61"/>
      <c r="AB69" s="61"/>
      <c r="AC69" s="61"/>
      <c r="AD69" s="61"/>
      <c r="AE69" s="49">
        <f t="shared" si="6"/>
        <v>0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49">
        <f t="shared" si="7"/>
        <v>0</v>
      </c>
    </row>
    <row r="70" spans="1:57" ht="15" hidden="1" customHeight="1" x14ac:dyDescent="0.2">
      <c r="A70" s="36">
        <v>59</v>
      </c>
      <c r="B70" s="59"/>
      <c r="C70" s="38"/>
      <c r="D70" s="38" t="e">
        <f>VLOOKUP(C70,Planilha1!$J$2:$L$206,3,)</f>
        <v>#N/A</v>
      </c>
      <c r="E70" s="39"/>
      <c r="F70" s="40"/>
      <c r="G70" s="49"/>
      <c r="H70" s="60">
        <f t="shared" si="0"/>
        <v>0</v>
      </c>
      <c r="I70" s="49">
        <f t="shared" si="1"/>
        <v>0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49">
        <f t="shared" si="2"/>
        <v>0</v>
      </c>
      <c r="V70" s="29">
        <f t="shared" si="3"/>
        <v>0</v>
      </c>
      <c r="W70" s="29">
        <f t="shared" si="4"/>
        <v>0</v>
      </c>
      <c r="X70" s="61">
        <f t="shared" si="8"/>
        <v>0</v>
      </c>
      <c r="Y70" s="61"/>
      <c r="Z70" s="61"/>
      <c r="AA70" s="61"/>
      <c r="AB70" s="61"/>
      <c r="AC70" s="61"/>
      <c r="AD70" s="61"/>
      <c r="AE70" s="61">
        <f t="shared" si="6"/>
        <v>0</v>
      </c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49">
        <f t="shared" si="7"/>
        <v>0</v>
      </c>
    </row>
    <row r="71" spans="1:57" ht="15" hidden="1" customHeight="1" x14ac:dyDescent="0.2">
      <c r="A71" s="36">
        <v>60</v>
      </c>
      <c r="B71" s="59"/>
      <c r="C71" s="38"/>
      <c r="D71" s="38" t="e">
        <f>VLOOKUP(C71,Planilha1!$J$2:$L$206,3,)</f>
        <v>#N/A</v>
      </c>
      <c r="E71" s="39"/>
      <c r="F71" s="40"/>
      <c r="G71" s="49"/>
      <c r="H71" s="60">
        <f t="shared" si="0"/>
        <v>0</v>
      </c>
      <c r="I71" s="49">
        <f t="shared" si="1"/>
        <v>0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49">
        <f t="shared" si="2"/>
        <v>0</v>
      </c>
      <c r="V71" s="29">
        <f t="shared" si="3"/>
        <v>0</v>
      </c>
      <c r="W71" s="29">
        <f t="shared" si="4"/>
        <v>0</v>
      </c>
      <c r="X71" s="61">
        <f t="shared" si="8"/>
        <v>0</v>
      </c>
      <c r="Y71" s="61"/>
      <c r="Z71" s="61"/>
      <c r="AA71" s="61"/>
      <c r="AB71" s="61"/>
      <c r="AC71" s="61"/>
      <c r="AD71" s="61"/>
      <c r="AE71" s="49">
        <f t="shared" si="6"/>
        <v>0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49">
        <f t="shared" si="7"/>
        <v>0</v>
      </c>
    </row>
    <row r="72" spans="1:57" ht="15" hidden="1" customHeight="1" x14ac:dyDescent="0.2">
      <c r="A72" s="36">
        <v>61</v>
      </c>
      <c r="B72" s="59"/>
      <c r="C72" s="38"/>
      <c r="D72" s="38" t="e">
        <f>VLOOKUP(C72,Planilha1!$J$2:$L$206,3,)</f>
        <v>#N/A</v>
      </c>
      <c r="E72" s="39"/>
      <c r="F72" s="40"/>
      <c r="G72" s="49"/>
      <c r="H72" s="60">
        <f t="shared" si="0"/>
        <v>0</v>
      </c>
      <c r="I72" s="49">
        <f t="shared" si="1"/>
        <v>0</v>
      </c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49">
        <f t="shared" si="2"/>
        <v>0</v>
      </c>
      <c r="V72" s="29">
        <f t="shared" si="3"/>
        <v>0</v>
      </c>
      <c r="W72" s="29">
        <f t="shared" si="4"/>
        <v>0</v>
      </c>
      <c r="X72" s="61">
        <f t="shared" si="8"/>
        <v>0</v>
      </c>
      <c r="Y72" s="61"/>
      <c r="Z72" s="61"/>
      <c r="AA72" s="61"/>
      <c r="AB72" s="61"/>
      <c r="AC72" s="61"/>
      <c r="AD72" s="61"/>
      <c r="AE72" s="61">
        <f t="shared" si="6"/>
        <v>0</v>
      </c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49">
        <f t="shared" si="7"/>
        <v>0</v>
      </c>
    </row>
    <row r="73" spans="1:57" ht="15" hidden="1" customHeight="1" x14ac:dyDescent="0.2">
      <c r="A73" s="36">
        <v>62</v>
      </c>
      <c r="B73" s="59"/>
      <c r="C73" s="38"/>
      <c r="D73" s="38" t="e">
        <f>VLOOKUP(C73,Planilha1!$J$2:$L$206,3,)</f>
        <v>#N/A</v>
      </c>
      <c r="E73" s="39"/>
      <c r="F73" s="40"/>
      <c r="G73" s="49"/>
      <c r="H73" s="60">
        <f t="shared" si="0"/>
        <v>0</v>
      </c>
      <c r="I73" s="49">
        <f t="shared" si="1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49">
        <f t="shared" si="2"/>
        <v>0</v>
      </c>
      <c r="V73" s="29">
        <f t="shared" si="3"/>
        <v>0</v>
      </c>
      <c r="W73" s="29">
        <f t="shared" si="4"/>
        <v>0</v>
      </c>
      <c r="X73" s="61">
        <f t="shared" si="8"/>
        <v>0</v>
      </c>
      <c r="Y73" s="61"/>
      <c r="Z73" s="61"/>
      <c r="AA73" s="61"/>
      <c r="AB73" s="61"/>
      <c r="AC73" s="61"/>
      <c r="AD73" s="61"/>
      <c r="AE73" s="49">
        <f t="shared" si="6"/>
        <v>0</v>
      </c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49">
        <f t="shared" si="7"/>
        <v>0</v>
      </c>
    </row>
    <row r="74" spans="1:57" ht="15" hidden="1" customHeight="1" x14ac:dyDescent="0.2">
      <c r="A74" s="36">
        <v>63</v>
      </c>
      <c r="B74" s="59"/>
      <c r="C74" s="38"/>
      <c r="D74" s="38" t="e">
        <f>VLOOKUP(C74,Planilha1!$J$2:$L$206,3,)</f>
        <v>#N/A</v>
      </c>
      <c r="E74" s="39"/>
      <c r="F74" s="40"/>
      <c r="G74" s="49"/>
      <c r="H74" s="60">
        <f t="shared" si="0"/>
        <v>0</v>
      </c>
      <c r="I74" s="49">
        <f t="shared" si="1"/>
        <v>0</v>
      </c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49">
        <f t="shared" si="2"/>
        <v>0</v>
      </c>
      <c r="V74" s="29">
        <f t="shared" si="3"/>
        <v>0</v>
      </c>
      <c r="W74" s="29">
        <f t="shared" si="4"/>
        <v>0</v>
      </c>
      <c r="X74" s="61">
        <f t="shared" si="8"/>
        <v>0</v>
      </c>
      <c r="Y74" s="61"/>
      <c r="Z74" s="61"/>
      <c r="AA74" s="61"/>
      <c r="AB74" s="61"/>
      <c r="AC74" s="61"/>
      <c r="AD74" s="61"/>
      <c r="AE74" s="61">
        <f t="shared" si="6"/>
        <v>0</v>
      </c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49">
        <f t="shared" si="7"/>
        <v>0</v>
      </c>
    </row>
    <row r="75" spans="1:57" ht="15" hidden="1" customHeight="1" x14ac:dyDescent="0.2">
      <c r="A75" s="36">
        <v>64</v>
      </c>
      <c r="B75" s="59"/>
      <c r="C75" s="38"/>
      <c r="D75" s="38" t="e">
        <f>VLOOKUP(C75,Planilha1!$J$2:$L$206,3,)</f>
        <v>#N/A</v>
      </c>
      <c r="E75" s="39"/>
      <c r="F75" s="40"/>
      <c r="G75" s="49"/>
      <c r="H75" s="60">
        <f t="shared" si="0"/>
        <v>0</v>
      </c>
      <c r="I75" s="49">
        <f t="shared" si="1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49">
        <f t="shared" si="2"/>
        <v>0</v>
      </c>
      <c r="V75" s="29">
        <f t="shared" si="3"/>
        <v>0</v>
      </c>
      <c r="W75" s="29">
        <f t="shared" si="4"/>
        <v>0</v>
      </c>
      <c r="X75" s="61">
        <f t="shared" si="8"/>
        <v>0</v>
      </c>
      <c r="Y75" s="61"/>
      <c r="Z75" s="61"/>
      <c r="AA75" s="61"/>
      <c r="AB75" s="61"/>
      <c r="AC75" s="61"/>
      <c r="AD75" s="61"/>
      <c r="AE75" s="49">
        <f t="shared" si="6"/>
        <v>0</v>
      </c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49">
        <f t="shared" si="7"/>
        <v>0</v>
      </c>
    </row>
    <row r="76" spans="1:57" ht="15" hidden="1" customHeight="1" x14ac:dyDescent="0.2">
      <c r="A76" s="36">
        <v>65</v>
      </c>
      <c r="B76" s="59"/>
      <c r="C76" s="38"/>
      <c r="D76" s="38" t="e">
        <f>VLOOKUP(C76,Planilha1!$J$2:$L$206,3,)</f>
        <v>#N/A</v>
      </c>
      <c r="E76" s="39"/>
      <c r="F76" s="40"/>
      <c r="G76" s="49"/>
      <c r="H76" s="60">
        <f t="shared" si="0"/>
        <v>0</v>
      </c>
      <c r="I76" s="49">
        <f t="shared" si="1"/>
        <v>0</v>
      </c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49">
        <f t="shared" si="2"/>
        <v>0</v>
      </c>
      <c r="V76" s="29">
        <f t="shared" si="3"/>
        <v>0</v>
      </c>
      <c r="W76" s="29">
        <f t="shared" si="4"/>
        <v>0</v>
      </c>
      <c r="X76" s="61">
        <f t="shared" si="8"/>
        <v>0</v>
      </c>
      <c r="Y76" s="61"/>
      <c r="Z76" s="61"/>
      <c r="AA76" s="61"/>
      <c r="AB76" s="61"/>
      <c r="AC76" s="61"/>
      <c r="AD76" s="61"/>
      <c r="AE76" s="61">
        <f t="shared" si="6"/>
        <v>0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49">
        <f t="shared" si="7"/>
        <v>0</v>
      </c>
    </row>
    <row r="77" spans="1:57" ht="15" hidden="1" customHeight="1" x14ac:dyDescent="0.2">
      <c r="A77" s="36">
        <v>66</v>
      </c>
      <c r="B77" s="59"/>
      <c r="C77" s="38"/>
      <c r="D77" s="38" t="e">
        <f>VLOOKUP(C77,Planilha1!$J$2:$L$206,3,)</f>
        <v>#N/A</v>
      </c>
      <c r="E77" s="39"/>
      <c r="F77" s="40"/>
      <c r="G77" s="49"/>
      <c r="H77" s="60">
        <f t="shared" si="0"/>
        <v>0</v>
      </c>
      <c r="I77" s="49">
        <f t="shared" si="1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49">
        <f t="shared" si="2"/>
        <v>0</v>
      </c>
      <c r="V77" s="29">
        <f t="shared" si="3"/>
        <v>0</v>
      </c>
      <c r="W77" s="29">
        <f t="shared" si="4"/>
        <v>0</v>
      </c>
      <c r="X77" s="61">
        <f t="shared" si="8"/>
        <v>0</v>
      </c>
      <c r="Y77" s="61"/>
      <c r="Z77" s="61"/>
      <c r="AA77" s="61"/>
      <c r="AB77" s="61"/>
      <c r="AC77" s="61"/>
      <c r="AD77" s="61"/>
      <c r="AE77" s="49">
        <f t="shared" si="6"/>
        <v>0</v>
      </c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49">
        <f t="shared" si="7"/>
        <v>0</v>
      </c>
    </row>
    <row r="78" spans="1:57" ht="15" hidden="1" customHeight="1" x14ac:dyDescent="0.2">
      <c r="A78" s="36">
        <v>67</v>
      </c>
      <c r="B78" s="59"/>
      <c r="C78" s="38"/>
      <c r="D78" s="38" t="e">
        <f>VLOOKUP(C78,Planilha1!$J$2:$L$206,3,)</f>
        <v>#N/A</v>
      </c>
      <c r="E78" s="39"/>
      <c r="F78" s="40"/>
      <c r="G78" s="49"/>
      <c r="H78" s="60">
        <f t="shared" ref="H78:H141" si="9">I78+U78</f>
        <v>0</v>
      </c>
      <c r="I78" s="49">
        <f t="shared" ref="I78:I141" si="10">SUM(J78:T78)</f>
        <v>0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49">
        <f t="shared" ref="U78:U141" si="11">X78+AE78</f>
        <v>0</v>
      </c>
      <c r="V78" s="29">
        <f t="shared" ref="V78:V141" si="12">IF(H78,U78/H78,0)</f>
        <v>0</v>
      </c>
      <c r="W78" s="29">
        <f t="shared" ref="W78:W141" si="13">IF(H78,I78/H78,0)</f>
        <v>0</v>
      </c>
      <c r="X78" s="61">
        <f t="shared" si="8"/>
        <v>0</v>
      </c>
      <c r="Y78" s="61"/>
      <c r="Z78" s="61"/>
      <c r="AA78" s="61"/>
      <c r="AB78" s="61"/>
      <c r="AC78" s="61"/>
      <c r="AD78" s="61"/>
      <c r="AE78" s="61">
        <f t="shared" ref="AE78:AE141" si="14">SUM(AF78:BD78)</f>
        <v>0</v>
      </c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49">
        <f t="shared" ref="BE78:BE141" si="15">I78+AE78</f>
        <v>0</v>
      </c>
    </row>
    <row r="79" spans="1:57" ht="15" hidden="1" customHeight="1" x14ac:dyDescent="0.2">
      <c r="A79" s="36">
        <v>68</v>
      </c>
      <c r="B79" s="59"/>
      <c r="C79" s="38"/>
      <c r="D79" s="38" t="e">
        <f>VLOOKUP(C79,Planilha1!$J$2:$L$206,3,)</f>
        <v>#N/A</v>
      </c>
      <c r="E79" s="39"/>
      <c r="F79" s="40"/>
      <c r="G79" s="49"/>
      <c r="H79" s="60">
        <f t="shared" si="9"/>
        <v>0</v>
      </c>
      <c r="I79" s="49">
        <f t="shared" si="10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49">
        <f t="shared" si="11"/>
        <v>0</v>
      </c>
      <c r="V79" s="29">
        <f t="shared" si="12"/>
        <v>0</v>
      </c>
      <c r="W79" s="29">
        <f t="shared" si="13"/>
        <v>0</v>
      </c>
      <c r="X79" s="61">
        <f t="shared" ref="X79:X142" si="16">SUM(Y79:AD79)</f>
        <v>0</v>
      </c>
      <c r="Y79" s="61"/>
      <c r="Z79" s="61"/>
      <c r="AA79" s="61"/>
      <c r="AB79" s="61"/>
      <c r="AC79" s="61"/>
      <c r="AD79" s="61"/>
      <c r="AE79" s="49">
        <f t="shared" si="14"/>
        <v>0</v>
      </c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49">
        <f t="shared" si="15"/>
        <v>0</v>
      </c>
    </row>
    <row r="80" spans="1:57" ht="15" hidden="1" customHeight="1" x14ac:dyDescent="0.2">
      <c r="A80" s="36">
        <v>69</v>
      </c>
      <c r="B80" s="59"/>
      <c r="C80" s="38"/>
      <c r="D80" s="38" t="e">
        <f>VLOOKUP(C80,Planilha1!$J$2:$L$206,3,)</f>
        <v>#N/A</v>
      </c>
      <c r="E80" s="39"/>
      <c r="F80" s="40"/>
      <c r="G80" s="49"/>
      <c r="H80" s="60">
        <f t="shared" si="9"/>
        <v>0</v>
      </c>
      <c r="I80" s="49">
        <f t="shared" si="10"/>
        <v>0</v>
      </c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49">
        <f t="shared" si="11"/>
        <v>0</v>
      </c>
      <c r="V80" s="29">
        <f t="shared" si="12"/>
        <v>0</v>
      </c>
      <c r="W80" s="29">
        <f t="shared" si="13"/>
        <v>0</v>
      </c>
      <c r="X80" s="61">
        <f t="shared" si="16"/>
        <v>0</v>
      </c>
      <c r="Y80" s="61"/>
      <c r="Z80" s="61"/>
      <c r="AA80" s="61"/>
      <c r="AB80" s="61"/>
      <c r="AC80" s="61"/>
      <c r="AD80" s="61"/>
      <c r="AE80" s="61">
        <f t="shared" si="14"/>
        <v>0</v>
      </c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49">
        <f t="shared" si="15"/>
        <v>0</v>
      </c>
    </row>
    <row r="81" spans="1:57" ht="15" hidden="1" customHeight="1" x14ac:dyDescent="0.2">
      <c r="A81" s="36">
        <v>70</v>
      </c>
      <c r="B81" s="59"/>
      <c r="C81" s="38"/>
      <c r="D81" s="38" t="e">
        <f>VLOOKUP(C81,Planilha1!$J$2:$L$206,3,)</f>
        <v>#N/A</v>
      </c>
      <c r="E81" s="39"/>
      <c r="F81" s="40"/>
      <c r="G81" s="49"/>
      <c r="H81" s="60">
        <f t="shared" si="9"/>
        <v>0</v>
      </c>
      <c r="I81" s="49">
        <f t="shared" si="10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49">
        <f t="shared" si="11"/>
        <v>0</v>
      </c>
      <c r="V81" s="29">
        <f t="shared" si="12"/>
        <v>0</v>
      </c>
      <c r="W81" s="29">
        <f t="shared" si="13"/>
        <v>0</v>
      </c>
      <c r="X81" s="61">
        <f t="shared" si="16"/>
        <v>0</v>
      </c>
      <c r="Y81" s="61"/>
      <c r="Z81" s="61"/>
      <c r="AA81" s="61"/>
      <c r="AB81" s="61"/>
      <c r="AC81" s="61"/>
      <c r="AD81" s="61"/>
      <c r="AE81" s="49">
        <f t="shared" si="14"/>
        <v>0</v>
      </c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49">
        <f t="shared" si="15"/>
        <v>0</v>
      </c>
    </row>
    <row r="82" spans="1:57" ht="15" hidden="1" customHeight="1" x14ac:dyDescent="0.2">
      <c r="A82" s="36">
        <v>71</v>
      </c>
      <c r="B82" s="59"/>
      <c r="C82" s="38"/>
      <c r="D82" s="38" t="e">
        <f>VLOOKUP(C82,Planilha1!$J$2:$L$206,3,)</f>
        <v>#N/A</v>
      </c>
      <c r="E82" s="39"/>
      <c r="F82" s="40"/>
      <c r="G82" s="49"/>
      <c r="H82" s="60">
        <f t="shared" si="9"/>
        <v>0</v>
      </c>
      <c r="I82" s="49">
        <f t="shared" si="10"/>
        <v>0</v>
      </c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49">
        <f t="shared" si="11"/>
        <v>0</v>
      </c>
      <c r="V82" s="29">
        <f t="shared" si="12"/>
        <v>0</v>
      </c>
      <c r="W82" s="29">
        <f t="shared" si="13"/>
        <v>0</v>
      </c>
      <c r="X82" s="61">
        <f t="shared" si="16"/>
        <v>0</v>
      </c>
      <c r="Y82" s="61"/>
      <c r="Z82" s="61"/>
      <c r="AA82" s="61"/>
      <c r="AB82" s="61"/>
      <c r="AC82" s="61"/>
      <c r="AD82" s="61"/>
      <c r="AE82" s="61">
        <f t="shared" si="14"/>
        <v>0</v>
      </c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49">
        <f t="shared" si="15"/>
        <v>0</v>
      </c>
    </row>
    <row r="83" spans="1:57" ht="15" hidden="1" customHeight="1" x14ac:dyDescent="0.2">
      <c r="A83" s="36">
        <v>72</v>
      </c>
      <c r="B83" s="59"/>
      <c r="C83" s="38"/>
      <c r="D83" s="38" t="e">
        <f>VLOOKUP(C83,Planilha1!$J$2:$L$206,3,)</f>
        <v>#N/A</v>
      </c>
      <c r="E83" s="39"/>
      <c r="F83" s="40"/>
      <c r="G83" s="49"/>
      <c r="H83" s="60">
        <f t="shared" si="9"/>
        <v>0</v>
      </c>
      <c r="I83" s="49">
        <f t="shared" si="10"/>
        <v>0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49">
        <f t="shared" si="11"/>
        <v>0</v>
      </c>
      <c r="V83" s="29">
        <f t="shared" si="12"/>
        <v>0</v>
      </c>
      <c r="W83" s="29">
        <f t="shared" si="13"/>
        <v>0</v>
      </c>
      <c r="X83" s="61">
        <f t="shared" si="16"/>
        <v>0</v>
      </c>
      <c r="Y83" s="61"/>
      <c r="Z83" s="61"/>
      <c r="AA83" s="61"/>
      <c r="AB83" s="61"/>
      <c r="AC83" s="61"/>
      <c r="AD83" s="61"/>
      <c r="AE83" s="49">
        <f t="shared" si="14"/>
        <v>0</v>
      </c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49">
        <f t="shared" si="15"/>
        <v>0</v>
      </c>
    </row>
    <row r="84" spans="1:57" ht="15" hidden="1" customHeight="1" x14ac:dyDescent="0.2">
      <c r="A84" s="36">
        <v>73</v>
      </c>
      <c r="B84" s="59"/>
      <c r="C84" s="38"/>
      <c r="D84" s="38" t="e">
        <f>VLOOKUP(C84,Planilha1!$J$2:$L$206,3,)</f>
        <v>#N/A</v>
      </c>
      <c r="E84" s="39"/>
      <c r="F84" s="40"/>
      <c r="G84" s="49"/>
      <c r="H84" s="60">
        <f t="shared" si="9"/>
        <v>0</v>
      </c>
      <c r="I84" s="49">
        <f t="shared" si="10"/>
        <v>0</v>
      </c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49">
        <f t="shared" si="11"/>
        <v>0</v>
      </c>
      <c r="V84" s="29">
        <f t="shared" si="12"/>
        <v>0</v>
      </c>
      <c r="W84" s="29">
        <f t="shared" si="13"/>
        <v>0</v>
      </c>
      <c r="X84" s="61">
        <f t="shared" si="16"/>
        <v>0</v>
      </c>
      <c r="Y84" s="61"/>
      <c r="Z84" s="61"/>
      <c r="AA84" s="61"/>
      <c r="AB84" s="61"/>
      <c r="AC84" s="61"/>
      <c r="AD84" s="61"/>
      <c r="AE84" s="61">
        <f t="shared" si="14"/>
        <v>0</v>
      </c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49">
        <f t="shared" si="15"/>
        <v>0</v>
      </c>
    </row>
    <row r="85" spans="1:57" ht="15" hidden="1" customHeight="1" x14ac:dyDescent="0.2">
      <c r="A85" s="36">
        <v>74</v>
      </c>
      <c r="B85" s="59"/>
      <c r="C85" s="38"/>
      <c r="D85" s="38" t="e">
        <f>VLOOKUP(C85,Planilha1!$J$2:$L$206,3,)</f>
        <v>#N/A</v>
      </c>
      <c r="E85" s="39"/>
      <c r="F85" s="40"/>
      <c r="G85" s="49"/>
      <c r="H85" s="60">
        <f t="shared" si="9"/>
        <v>0</v>
      </c>
      <c r="I85" s="49">
        <f t="shared" si="10"/>
        <v>0</v>
      </c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49">
        <f t="shared" si="11"/>
        <v>0</v>
      </c>
      <c r="V85" s="29">
        <f t="shared" si="12"/>
        <v>0</v>
      </c>
      <c r="W85" s="29">
        <f t="shared" si="13"/>
        <v>0</v>
      </c>
      <c r="X85" s="61">
        <f t="shared" si="16"/>
        <v>0</v>
      </c>
      <c r="Y85" s="61"/>
      <c r="Z85" s="61"/>
      <c r="AA85" s="61"/>
      <c r="AB85" s="61"/>
      <c r="AC85" s="61"/>
      <c r="AD85" s="61"/>
      <c r="AE85" s="49">
        <f t="shared" si="14"/>
        <v>0</v>
      </c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49">
        <f t="shared" si="15"/>
        <v>0</v>
      </c>
    </row>
    <row r="86" spans="1:57" ht="15" hidden="1" customHeight="1" x14ac:dyDescent="0.2">
      <c r="A86" s="36">
        <v>75</v>
      </c>
      <c r="B86" s="59"/>
      <c r="C86" s="38"/>
      <c r="D86" s="38" t="e">
        <f>VLOOKUP(C86,Planilha1!$J$2:$L$206,3,)</f>
        <v>#N/A</v>
      </c>
      <c r="E86" s="39"/>
      <c r="F86" s="40"/>
      <c r="G86" s="49"/>
      <c r="H86" s="60">
        <f t="shared" si="9"/>
        <v>0</v>
      </c>
      <c r="I86" s="49">
        <f t="shared" si="10"/>
        <v>0</v>
      </c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49">
        <f t="shared" si="11"/>
        <v>0</v>
      </c>
      <c r="V86" s="29">
        <f t="shared" si="12"/>
        <v>0</v>
      </c>
      <c r="W86" s="29">
        <f t="shared" si="13"/>
        <v>0</v>
      </c>
      <c r="X86" s="61">
        <f t="shared" si="16"/>
        <v>0</v>
      </c>
      <c r="Y86" s="61"/>
      <c r="Z86" s="61"/>
      <c r="AA86" s="61"/>
      <c r="AB86" s="61"/>
      <c r="AC86" s="61"/>
      <c r="AD86" s="61"/>
      <c r="AE86" s="61">
        <f t="shared" si="14"/>
        <v>0</v>
      </c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49">
        <f t="shared" si="15"/>
        <v>0</v>
      </c>
    </row>
    <row r="87" spans="1:57" ht="15" hidden="1" customHeight="1" x14ac:dyDescent="0.2">
      <c r="A87" s="36">
        <v>76</v>
      </c>
      <c r="B87" s="59"/>
      <c r="C87" s="38"/>
      <c r="D87" s="38" t="e">
        <f>VLOOKUP(C87,Planilha1!$J$2:$L$206,3,)</f>
        <v>#N/A</v>
      </c>
      <c r="E87" s="39"/>
      <c r="F87" s="40"/>
      <c r="G87" s="49"/>
      <c r="H87" s="60">
        <f t="shared" si="9"/>
        <v>0</v>
      </c>
      <c r="I87" s="49">
        <f t="shared" si="10"/>
        <v>0</v>
      </c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49">
        <f t="shared" si="11"/>
        <v>0</v>
      </c>
      <c r="V87" s="29">
        <f t="shared" si="12"/>
        <v>0</v>
      </c>
      <c r="W87" s="29">
        <f t="shared" si="13"/>
        <v>0</v>
      </c>
      <c r="X87" s="61">
        <f t="shared" si="16"/>
        <v>0</v>
      </c>
      <c r="Y87" s="61"/>
      <c r="Z87" s="61"/>
      <c r="AA87" s="61"/>
      <c r="AB87" s="61"/>
      <c r="AC87" s="61"/>
      <c r="AD87" s="61"/>
      <c r="AE87" s="49">
        <f t="shared" si="14"/>
        <v>0</v>
      </c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49">
        <f t="shared" si="15"/>
        <v>0</v>
      </c>
    </row>
    <row r="88" spans="1:57" ht="15" hidden="1" customHeight="1" x14ac:dyDescent="0.2">
      <c r="A88" s="36">
        <v>77</v>
      </c>
      <c r="B88" s="59"/>
      <c r="C88" s="38"/>
      <c r="D88" s="38" t="e">
        <f>VLOOKUP(C88,Planilha1!$J$2:$L$206,3,)</f>
        <v>#N/A</v>
      </c>
      <c r="E88" s="39"/>
      <c r="F88" s="40"/>
      <c r="G88" s="49"/>
      <c r="H88" s="60">
        <f t="shared" si="9"/>
        <v>0</v>
      </c>
      <c r="I88" s="49">
        <f t="shared" si="10"/>
        <v>0</v>
      </c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49">
        <f t="shared" si="11"/>
        <v>0</v>
      </c>
      <c r="V88" s="29">
        <f t="shared" si="12"/>
        <v>0</v>
      </c>
      <c r="W88" s="29">
        <f t="shared" si="13"/>
        <v>0</v>
      </c>
      <c r="X88" s="61">
        <f t="shared" si="16"/>
        <v>0</v>
      </c>
      <c r="Y88" s="61"/>
      <c r="Z88" s="61"/>
      <c r="AA88" s="61"/>
      <c r="AB88" s="61"/>
      <c r="AC88" s="61"/>
      <c r="AD88" s="61"/>
      <c r="AE88" s="61">
        <f t="shared" si="14"/>
        <v>0</v>
      </c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49">
        <f t="shared" si="15"/>
        <v>0</v>
      </c>
    </row>
    <row r="89" spans="1:57" ht="15" hidden="1" customHeight="1" x14ac:dyDescent="0.2">
      <c r="A89" s="36">
        <v>78</v>
      </c>
      <c r="B89" s="59"/>
      <c r="C89" s="38"/>
      <c r="D89" s="38" t="e">
        <f>VLOOKUP(C89,Planilha1!$J$2:$L$206,3,)</f>
        <v>#N/A</v>
      </c>
      <c r="E89" s="39"/>
      <c r="F89" s="40"/>
      <c r="G89" s="49"/>
      <c r="H89" s="60">
        <f t="shared" si="9"/>
        <v>0</v>
      </c>
      <c r="I89" s="49">
        <f t="shared" si="10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49">
        <f t="shared" si="11"/>
        <v>0</v>
      </c>
      <c r="V89" s="29">
        <f t="shared" si="12"/>
        <v>0</v>
      </c>
      <c r="W89" s="29">
        <f t="shared" si="13"/>
        <v>0</v>
      </c>
      <c r="X89" s="61">
        <f t="shared" si="16"/>
        <v>0</v>
      </c>
      <c r="Y89" s="61"/>
      <c r="Z89" s="61"/>
      <c r="AA89" s="61"/>
      <c r="AB89" s="61"/>
      <c r="AC89" s="61"/>
      <c r="AD89" s="61"/>
      <c r="AE89" s="49">
        <f t="shared" si="14"/>
        <v>0</v>
      </c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49">
        <f t="shared" si="15"/>
        <v>0</v>
      </c>
    </row>
    <row r="90" spans="1:57" ht="15" hidden="1" customHeight="1" x14ac:dyDescent="0.2">
      <c r="A90" s="36">
        <v>79</v>
      </c>
      <c r="B90" s="59"/>
      <c r="C90" s="38"/>
      <c r="D90" s="38" t="e">
        <f>VLOOKUP(C90,Planilha1!$J$2:$L$206,3,)</f>
        <v>#N/A</v>
      </c>
      <c r="E90" s="39"/>
      <c r="F90" s="40"/>
      <c r="G90" s="49"/>
      <c r="H90" s="60">
        <f t="shared" si="9"/>
        <v>0</v>
      </c>
      <c r="I90" s="49">
        <f t="shared" si="10"/>
        <v>0</v>
      </c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49">
        <f t="shared" si="11"/>
        <v>0</v>
      </c>
      <c r="V90" s="29">
        <f t="shared" si="12"/>
        <v>0</v>
      </c>
      <c r="W90" s="29">
        <f t="shared" si="13"/>
        <v>0</v>
      </c>
      <c r="X90" s="61">
        <f t="shared" si="16"/>
        <v>0</v>
      </c>
      <c r="Y90" s="61"/>
      <c r="Z90" s="61"/>
      <c r="AA90" s="61"/>
      <c r="AB90" s="61"/>
      <c r="AC90" s="61"/>
      <c r="AD90" s="61"/>
      <c r="AE90" s="61">
        <f t="shared" si="14"/>
        <v>0</v>
      </c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49">
        <f t="shared" si="15"/>
        <v>0</v>
      </c>
    </row>
    <row r="91" spans="1:57" ht="15" hidden="1" customHeight="1" x14ac:dyDescent="0.2">
      <c r="A91" s="36">
        <v>80</v>
      </c>
      <c r="B91" s="59"/>
      <c r="C91" s="38"/>
      <c r="D91" s="38" t="e">
        <f>VLOOKUP(C91,Planilha1!$J$2:$L$206,3,)</f>
        <v>#N/A</v>
      </c>
      <c r="E91" s="39"/>
      <c r="F91" s="40"/>
      <c r="G91" s="49"/>
      <c r="H91" s="60">
        <f t="shared" si="9"/>
        <v>0</v>
      </c>
      <c r="I91" s="49">
        <f t="shared" si="10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49">
        <f t="shared" si="11"/>
        <v>0</v>
      </c>
      <c r="V91" s="29">
        <f t="shared" si="12"/>
        <v>0</v>
      </c>
      <c r="W91" s="29">
        <f t="shared" si="13"/>
        <v>0</v>
      </c>
      <c r="X91" s="61">
        <f t="shared" si="16"/>
        <v>0</v>
      </c>
      <c r="Y91" s="61"/>
      <c r="Z91" s="61"/>
      <c r="AA91" s="61"/>
      <c r="AB91" s="61"/>
      <c r="AC91" s="61"/>
      <c r="AD91" s="61"/>
      <c r="AE91" s="49">
        <f t="shared" si="14"/>
        <v>0</v>
      </c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49">
        <f t="shared" si="15"/>
        <v>0</v>
      </c>
    </row>
    <row r="92" spans="1:57" ht="15" hidden="1" customHeight="1" x14ac:dyDescent="0.2">
      <c r="A92" s="36">
        <v>81</v>
      </c>
      <c r="B92" s="59"/>
      <c r="C92" s="38"/>
      <c r="D92" s="38" t="e">
        <f>VLOOKUP(C92,Planilha1!$J$2:$L$206,3,)</f>
        <v>#N/A</v>
      </c>
      <c r="E92" s="39"/>
      <c r="F92" s="40"/>
      <c r="G92" s="49"/>
      <c r="H92" s="60">
        <f t="shared" si="9"/>
        <v>0</v>
      </c>
      <c r="I92" s="49">
        <f t="shared" si="10"/>
        <v>0</v>
      </c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49">
        <f t="shared" si="11"/>
        <v>0</v>
      </c>
      <c r="V92" s="29">
        <f t="shared" si="12"/>
        <v>0</v>
      </c>
      <c r="W92" s="29">
        <f t="shared" si="13"/>
        <v>0</v>
      </c>
      <c r="X92" s="61">
        <f t="shared" si="16"/>
        <v>0</v>
      </c>
      <c r="Y92" s="61"/>
      <c r="Z92" s="61"/>
      <c r="AA92" s="61"/>
      <c r="AB92" s="61"/>
      <c r="AC92" s="61"/>
      <c r="AD92" s="61"/>
      <c r="AE92" s="61">
        <f t="shared" si="14"/>
        <v>0</v>
      </c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49">
        <f t="shared" si="15"/>
        <v>0</v>
      </c>
    </row>
    <row r="93" spans="1:57" ht="15" hidden="1" customHeight="1" x14ac:dyDescent="0.2">
      <c r="A93" s="36">
        <v>82</v>
      </c>
      <c r="B93" s="59"/>
      <c r="C93" s="38"/>
      <c r="D93" s="38" t="e">
        <f>VLOOKUP(C93,Planilha1!$J$2:$L$206,3,)</f>
        <v>#N/A</v>
      </c>
      <c r="E93" s="39"/>
      <c r="F93" s="40"/>
      <c r="G93" s="49"/>
      <c r="H93" s="60">
        <f t="shared" si="9"/>
        <v>0</v>
      </c>
      <c r="I93" s="49">
        <f t="shared" si="10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49">
        <f t="shared" si="11"/>
        <v>0</v>
      </c>
      <c r="V93" s="29">
        <f t="shared" si="12"/>
        <v>0</v>
      </c>
      <c r="W93" s="29">
        <f t="shared" si="13"/>
        <v>0</v>
      </c>
      <c r="X93" s="61">
        <f t="shared" si="16"/>
        <v>0</v>
      </c>
      <c r="Y93" s="61"/>
      <c r="Z93" s="61"/>
      <c r="AA93" s="61"/>
      <c r="AB93" s="61"/>
      <c r="AC93" s="61"/>
      <c r="AD93" s="61"/>
      <c r="AE93" s="49">
        <f t="shared" si="14"/>
        <v>0</v>
      </c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49">
        <f t="shared" si="15"/>
        <v>0</v>
      </c>
    </row>
    <row r="94" spans="1:57" ht="15" hidden="1" customHeight="1" x14ac:dyDescent="0.2">
      <c r="A94" s="36">
        <v>83</v>
      </c>
      <c r="B94" s="59"/>
      <c r="C94" s="38"/>
      <c r="D94" s="38" t="e">
        <f>VLOOKUP(C94,Planilha1!$J$2:$L$206,3,)</f>
        <v>#N/A</v>
      </c>
      <c r="E94" s="39"/>
      <c r="F94" s="40"/>
      <c r="G94" s="49"/>
      <c r="H94" s="60">
        <f t="shared" si="9"/>
        <v>0</v>
      </c>
      <c r="I94" s="49">
        <f t="shared" si="10"/>
        <v>0</v>
      </c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49">
        <f t="shared" si="11"/>
        <v>0</v>
      </c>
      <c r="V94" s="29">
        <f t="shared" si="12"/>
        <v>0</v>
      </c>
      <c r="W94" s="29">
        <f t="shared" si="13"/>
        <v>0</v>
      </c>
      <c r="X94" s="61">
        <f t="shared" si="16"/>
        <v>0</v>
      </c>
      <c r="Y94" s="61"/>
      <c r="Z94" s="61"/>
      <c r="AA94" s="61"/>
      <c r="AB94" s="61"/>
      <c r="AC94" s="61"/>
      <c r="AD94" s="61"/>
      <c r="AE94" s="61">
        <f t="shared" si="14"/>
        <v>0</v>
      </c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49">
        <f t="shared" si="15"/>
        <v>0</v>
      </c>
    </row>
    <row r="95" spans="1:57" ht="15" hidden="1" customHeight="1" x14ac:dyDescent="0.2">
      <c r="A95" s="36">
        <v>84</v>
      </c>
      <c r="B95" s="59"/>
      <c r="C95" s="38"/>
      <c r="D95" s="38" t="e">
        <f>VLOOKUP(C95,Planilha1!$J$2:$L$206,3,)</f>
        <v>#N/A</v>
      </c>
      <c r="E95" s="39"/>
      <c r="F95" s="40"/>
      <c r="G95" s="49"/>
      <c r="H95" s="60">
        <f t="shared" si="9"/>
        <v>0</v>
      </c>
      <c r="I95" s="49">
        <f t="shared" si="10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49">
        <f t="shared" si="11"/>
        <v>0</v>
      </c>
      <c r="V95" s="29">
        <f t="shared" si="12"/>
        <v>0</v>
      </c>
      <c r="W95" s="29">
        <f t="shared" si="13"/>
        <v>0</v>
      </c>
      <c r="X95" s="61">
        <f t="shared" si="16"/>
        <v>0</v>
      </c>
      <c r="Y95" s="61"/>
      <c r="Z95" s="61"/>
      <c r="AA95" s="61"/>
      <c r="AB95" s="61"/>
      <c r="AC95" s="61"/>
      <c r="AD95" s="61"/>
      <c r="AE95" s="49">
        <f t="shared" si="14"/>
        <v>0</v>
      </c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49">
        <f t="shared" si="15"/>
        <v>0</v>
      </c>
    </row>
    <row r="96" spans="1:57" ht="15" hidden="1" customHeight="1" x14ac:dyDescent="0.2">
      <c r="A96" s="36">
        <v>85</v>
      </c>
      <c r="B96" s="59"/>
      <c r="C96" s="38"/>
      <c r="D96" s="38" t="e">
        <f>VLOOKUP(C96,Planilha1!$J$2:$L$206,3,)</f>
        <v>#N/A</v>
      </c>
      <c r="E96" s="39"/>
      <c r="F96" s="40"/>
      <c r="G96" s="49"/>
      <c r="H96" s="60">
        <f t="shared" si="9"/>
        <v>0</v>
      </c>
      <c r="I96" s="49">
        <f t="shared" si="10"/>
        <v>0</v>
      </c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49">
        <f t="shared" si="11"/>
        <v>0</v>
      </c>
      <c r="V96" s="29">
        <f t="shared" si="12"/>
        <v>0</v>
      </c>
      <c r="W96" s="29">
        <f t="shared" si="13"/>
        <v>0</v>
      </c>
      <c r="X96" s="61">
        <f t="shared" si="16"/>
        <v>0</v>
      </c>
      <c r="Y96" s="61"/>
      <c r="Z96" s="61"/>
      <c r="AA96" s="61"/>
      <c r="AB96" s="61"/>
      <c r="AC96" s="61"/>
      <c r="AD96" s="61"/>
      <c r="AE96" s="61">
        <f t="shared" si="14"/>
        <v>0</v>
      </c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49">
        <f t="shared" si="15"/>
        <v>0</v>
      </c>
    </row>
    <row r="97" spans="1:57" ht="15" hidden="1" customHeight="1" x14ac:dyDescent="0.2">
      <c r="A97" s="36">
        <v>86</v>
      </c>
      <c r="B97" s="59"/>
      <c r="C97" s="38"/>
      <c r="D97" s="38" t="e">
        <f>VLOOKUP(C97,Planilha1!$J$2:$L$206,3,)</f>
        <v>#N/A</v>
      </c>
      <c r="E97" s="39"/>
      <c r="F97" s="40"/>
      <c r="G97" s="49"/>
      <c r="H97" s="60">
        <f t="shared" si="9"/>
        <v>0</v>
      </c>
      <c r="I97" s="49">
        <f t="shared" si="10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49">
        <f t="shared" si="11"/>
        <v>0</v>
      </c>
      <c r="V97" s="29">
        <f t="shared" si="12"/>
        <v>0</v>
      </c>
      <c r="W97" s="29">
        <f t="shared" si="13"/>
        <v>0</v>
      </c>
      <c r="X97" s="61">
        <f t="shared" si="16"/>
        <v>0</v>
      </c>
      <c r="Y97" s="61"/>
      <c r="Z97" s="61"/>
      <c r="AA97" s="61"/>
      <c r="AB97" s="61"/>
      <c r="AC97" s="61"/>
      <c r="AD97" s="61"/>
      <c r="AE97" s="49">
        <f t="shared" si="14"/>
        <v>0</v>
      </c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49">
        <f t="shared" si="15"/>
        <v>0</v>
      </c>
    </row>
    <row r="98" spans="1:57" ht="15" hidden="1" customHeight="1" x14ac:dyDescent="0.2">
      <c r="A98" s="36">
        <v>87</v>
      </c>
      <c r="B98" s="59"/>
      <c r="C98" s="38"/>
      <c r="D98" s="38" t="e">
        <f>VLOOKUP(C98,Planilha1!$J$2:$L$206,3,)</f>
        <v>#N/A</v>
      </c>
      <c r="E98" s="39"/>
      <c r="F98" s="40"/>
      <c r="G98" s="49"/>
      <c r="H98" s="60">
        <f t="shared" si="9"/>
        <v>0</v>
      </c>
      <c r="I98" s="49">
        <f t="shared" si="10"/>
        <v>0</v>
      </c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49">
        <f t="shared" si="11"/>
        <v>0</v>
      </c>
      <c r="V98" s="29">
        <f t="shared" si="12"/>
        <v>0</v>
      </c>
      <c r="W98" s="29">
        <f t="shared" si="13"/>
        <v>0</v>
      </c>
      <c r="X98" s="61">
        <f t="shared" si="16"/>
        <v>0</v>
      </c>
      <c r="Y98" s="61"/>
      <c r="Z98" s="61"/>
      <c r="AA98" s="61"/>
      <c r="AB98" s="61"/>
      <c r="AC98" s="61"/>
      <c r="AD98" s="61"/>
      <c r="AE98" s="61">
        <f t="shared" si="14"/>
        <v>0</v>
      </c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49">
        <f t="shared" si="15"/>
        <v>0</v>
      </c>
    </row>
    <row r="99" spans="1:57" ht="15" hidden="1" customHeight="1" x14ac:dyDescent="0.2">
      <c r="A99" s="36">
        <v>88</v>
      </c>
      <c r="B99" s="59"/>
      <c r="C99" s="38"/>
      <c r="D99" s="38" t="e">
        <f>VLOOKUP(C99,Planilha1!$J$2:$L$206,3,)</f>
        <v>#N/A</v>
      </c>
      <c r="E99" s="39"/>
      <c r="F99" s="40"/>
      <c r="G99" s="49"/>
      <c r="H99" s="60">
        <f t="shared" si="9"/>
        <v>0</v>
      </c>
      <c r="I99" s="49">
        <f t="shared" si="10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49">
        <f t="shared" si="11"/>
        <v>0</v>
      </c>
      <c r="V99" s="29">
        <f t="shared" si="12"/>
        <v>0</v>
      </c>
      <c r="W99" s="29">
        <f t="shared" si="13"/>
        <v>0</v>
      </c>
      <c r="X99" s="61">
        <f t="shared" si="16"/>
        <v>0</v>
      </c>
      <c r="Y99" s="61"/>
      <c r="Z99" s="61"/>
      <c r="AA99" s="61"/>
      <c r="AB99" s="61"/>
      <c r="AC99" s="61"/>
      <c r="AD99" s="61"/>
      <c r="AE99" s="49">
        <f t="shared" si="14"/>
        <v>0</v>
      </c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49">
        <f t="shared" si="15"/>
        <v>0</v>
      </c>
    </row>
    <row r="100" spans="1:57" ht="15" hidden="1" customHeight="1" x14ac:dyDescent="0.2">
      <c r="A100" s="36">
        <v>89</v>
      </c>
      <c r="B100" s="59"/>
      <c r="C100" s="38"/>
      <c r="D100" s="38" t="e">
        <f>VLOOKUP(C100,Planilha1!$J$2:$L$206,3,)</f>
        <v>#N/A</v>
      </c>
      <c r="E100" s="39"/>
      <c r="F100" s="40"/>
      <c r="G100" s="49"/>
      <c r="H100" s="60">
        <f t="shared" si="9"/>
        <v>0</v>
      </c>
      <c r="I100" s="49">
        <f t="shared" si="10"/>
        <v>0</v>
      </c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49">
        <f t="shared" si="11"/>
        <v>0</v>
      </c>
      <c r="V100" s="29">
        <f t="shared" si="12"/>
        <v>0</v>
      </c>
      <c r="W100" s="29">
        <f t="shared" si="13"/>
        <v>0</v>
      </c>
      <c r="X100" s="61">
        <f t="shared" si="16"/>
        <v>0</v>
      </c>
      <c r="Y100" s="61"/>
      <c r="Z100" s="61"/>
      <c r="AA100" s="61"/>
      <c r="AB100" s="61"/>
      <c r="AC100" s="61"/>
      <c r="AD100" s="61"/>
      <c r="AE100" s="61">
        <f t="shared" si="14"/>
        <v>0</v>
      </c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49">
        <f t="shared" si="15"/>
        <v>0</v>
      </c>
    </row>
    <row r="101" spans="1:57" ht="15" hidden="1" customHeight="1" x14ac:dyDescent="0.2">
      <c r="A101" s="36">
        <v>90</v>
      </c>
      <c r="B101" s="59"/>
      <c r="C101" s="38"/>
      <c r="D101" s="38" t="e">
        <f>VLOOKUP(C101,Planilha1!$J$2:$L$206,3,)</f>
        <v>#N/A</v>
      </c>
      <c r="E101" s="39"/>
      <c r="F101" s="40"/>
      <c r="G101" s="49"/>
      <c r="H101" s="60">
        <f t="shared" si="9"/>
        <v>0</v>
      </c>
      <c r="I101" s="49">
        <f t="shared" si="10"/>
        <v>0</v>
      </c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49">
        <f t="shared" si="11"/>
        <v>0</v>
      </c>
      <c r="V101" s="29">
        <f t="shared" si="12"/>
        <v>0</v>
      </c>
      <c r="W101" s="29">
        <f t="shared" si="13"/>
        <v>0</v>
      </c>
      <c r="X101" s="61">
        <f t="shared" si="16"/>
        <v>0</v>
      </c>
      <c r="Y101" s="61"/>
      <c r="Z101" s="61"/>
      <c r="AA101" s="61"/>
      <c r="AB101" s="61"/>
      <c r="AC101" s="61"/>
      <c r="AD101" s="61"/>
      <c r="AE101" s="49">
        <f t="shared" si="14"/>
        <v>0</v>
      </c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49">
        <f t="shared" si="15"/>
        <v>0</v>
      </c>
    </row>
    <row r="102" spans="1:57" ht="15" hidden="1" customHeight="1" x14ac:dyDescent="0.2">
      <c r="A102" s="36">
        <v>91</v>
      </c>
      <c r="B102" s="59"/>
      <c r="C102" s="38"/>
      <c r="D102" s="38" t="e">
        <f>VLOOKUP(C102,Planilha1!$J$2:$L$206,3,)</f>
        <v>#N/A</v>
      </c>
      <c r="E102" s="39"/>
      <c r="F102" s="40"/>
      <c r="G102" s="49"/>
      <c r="H102" s="60">
        <f t="shared" si="9"/>
        <v>0</v>
      </c>
      <c r="I102" s="49">
        <f t="shared" si="10"/>
        <v>0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49">
        <f t="shared" si="11"/>
        <v>0</v>
      </c>
      <c r="V102" s="29">
        <f t="shared" si="12"/>
        <v>0</v>
      </c>
      <c r="W102" s="29">
        <f t="shared" si="13"/>
        <v>0</v>
      </c>
      <c r="X102" s="61">
        <f t="shared" si="16"/>
        <v>0</v>
      </c>
      <c r="Y102" s="61"/>
      <c r="Z102" s="61"/>
      <c r="AA102" s="61"/>
      <c r="AB102" s="61"/>
      <c r="AC102" s="61"/>
      <c r="AD102" s="61"/>
      <c r="AE102" s="61">
        <f t="shared" si="14"/>
        <v>0</v>
      </c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49">
        <f t="shared" si="15"/>
        <v>0</v>
      </c>
    </row>
    <row r="103" spans="1:57" ht="15" hidden="1" customHeight="1" x14ac:dyDescent="0.2">
      <c r="A103" s="36">
        <v>92</v>
      </c>
      <c r="B103" s="59"/>
      <c r="C103" s="38"/>
      <c r="D103" s="38" t="e">
        <f>VLOOKUP(C103,Planilha1!$J$2:$L$206,3,)</f>
        <v>#N/A</v>
      </c>
      <c r="E103" s="39"/>
      <c r="F103" s="40"/>
      <c r="G103" s="49"/>
      <c r="H103" s="60">
        <f t="shared" si="9"/>
        <v>0</v>
      </c>
      <c r="I103" s="49">
        <f t="shared" si="10"/>
        <v>0</v>
      </c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49">
        <f t="shared" si="11"/>
        <v>0</v>
      </c>
      <c r="V103" s="29">
        <f t="shared" si="12"/>
        <v>0</v>
      </c>
      <c r="W103" s="29">
        <f t="shared" si="13"/>
        <v>0</v>
      </c>
      <c r="X103" s="61">
        <f t="shared" si="16"/>
        <v>0</v>
      </c>
      <c r="Y103" s="61"/>
      <c r="Z103" s="61"/>
      <c r="AA103" s="61"/>
      <c r="AB103" s="61"/>
      <c r="AC103" s="61"/>
      <c r="AD103" s="61"/>
      <c r="AE103" s="49">
        <f t="shared" si="14"/>
        <v>0</v>
      </c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49">
        <f t="shared" si="15"/>
        <v>0</v>
      </c>
    </row>
    <row r="104" spans="1:57" ht="15" hidden="1" customHeight="1" x14ac:dyDescent="0.2">
      <c r="A104" s="36">
        <v>93</v>
      </c>
      <c r="B104" s="59"/>
      <c r="C104" s="38"/>
      <c r="D104" s="38" t="e">
        <f>VLOOKUP(C104,Planilha1!$J$2:$L$206,3,)</f>
        <v>#N/A</v>
      </c>
      <c r="E104" s="39"/>
      <c r="F104" s="40"/>
      <c r="G104" s="49"/>
      <c r="H104" s="60">
        <f t="shared" si="9"/>
        <v>0</v>
      </c>
      <c r="I104" s="49">
        <f t="shared" si="10"/>
        <v>0</v>
      </c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49">
        <f t="shared" si="11"/>
        <v>0</v>
      </c>
      <c r="V104" s="29">
        <f t="shared" si="12"/>
        <v>0</v>
      </c>
      <c r="W104" s="29">
        <f t="shared" si="13"/>
        <v>0</v>
      </c>
      <c r="X104" s="61">
        <f t="shared" si="16"/>
        <v>0</v>
      </c>
      <c r="Y104" s="61"/>
      <c r="Z104" s="61"/>
      <c r="AA104" s="61"/>
      <c r="AB104" s="61"/>
      <c r="AC104" s="61"/>
      <c r="AD104" s="61"/>
      <c r="AE104" s="61">
        <f t="shared" si="14"/>
        <v>0</v>
      </c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49">
        <f t="shared" si="15"/>
        <v>0</v>
      </c>
    </row>
    <row r="105" spans="1:57" ht="15" hidden="1" customHeight="1" x14ac:dyDescent="0.2">
      <c r="A105" s="36">
        <v>94</v>
      </c>
      <c r="B105" s="59"/>
      <c r="C105" s="38"/>
      <c r="D105" s="38" t="e">
        <f>VLOOKUP(C105,Planilha1!$J$2:$L$206,3,)</f>
        <v>#N/A</v>
      </c>
      <c r="E105" s="39"/>
      <c r="F105" s="40"/>
      <c r="G105" s="49"/>
      <c r="H105" s="60">
        <f t="shared" si="9"/>
        <v>0</v>
      </c>
      <c r="I105" s="49">
        <f t="shared" si="10"/>
        <v>0</v>
      </c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49">
        <f t="shared" si="11"/>
        <v>0</v>
      </c>
      <c r="V105" s="29">
        <f t="shared" si="12"/>
        <v>0</v>
      </c>
      <c r="W105" s="29">
        <f t="shared" si="13"/>
        <v>0</v>
      </c>
      <c r="X105" s="61">
        <f t="shared" si="16"/>
        <v>0</v>
      </c>
      <c r="Y105" s="61"/>
      <c r="Z105" s="61"/>
      <c r="AA105" s="61"/>
      <c r="AB105" s="61"/>
      <c r="AC105" s="61"/>
      <c r="AD105" s="61"/>
      <c r="AE105" s="49">
        <f t="shared" si="14"/>
        <v>0</v>
      </c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49">
        <f t="shared" si="15"/>
        <v>0</v>
      </c>
    </row>
    <row r="106" spans="1:57" ht="15" hidden="1" customHeight="1" x14ac:dyDescent="0.2">
      <c r="A106" s="36">
        <v>95</v>
      </c>
      <c r="B106" s="59"/>
      <c r="C106" s="38"/>
      <c r="D106" s="38" t="e">
        <f>VLOOKUP(C106,Planilha1!$J$2:$L$206,3,)</f>
        <v>#N/A</v>
      </c>
      <c r="E106" s="39"/>
      <c r="F106" s="40"/>
      <c r="G106" s="49"/>
      <c r="H106" s="60">
        <f t="shared" si="9"/>
        <v>0</v>
      </c>
      <c r="I106" s="49">
        <f t="shared" si="10"/>
        <v>0</v>
      </c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49">
        <f t="shared" si="11"/>
        <v>0</v>
      </c>
      <c r="V106" s="29">
        <f t="shared" si="12"/>
        <v>0</v>
      </c>
      <c r="W106" s="29">
        <f t="shared" si="13"/>
        <v>0</v>
      </c>
      <c r="X106" s="61">
        <f t="shared" si="16"/>
        <v>0</v>
      </c>
      <c r="Y106" s="61"/>
      <c r="Z106" s="61"/>
      <c r="AA106" s="61"/>
      <c r="AB106" s="61"/>
      <c r="AC106" s="61"/>
      <c r="AD106" s="61"/>
      <c r="AE106" s="61">
        <f t="shared" si="14"/>
        <v>0</v>
      </c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49">
        <f t="shared" si="15"/>
        <v>0</v>
      </c>
    </row>
    <row r="107" spans="1:57" ht="15" hidden="1" customHeight="1" x14ac:dyDescent="0.2">
      <c r="A107" s="36">
        <v>96</v>
      </c>
      <c r="B107" s="59"/>
      <c r="C107" s="38"/>
      <c r="D107" s="38" t="e">
        <f>VLOOKUP(C107,Planilha1!$J$2:$L$206,3,)</f>
        <v>#N/A</v>
      </c>
      <c r="E107" s="39"/>
      <c r="F107" s="40"/>
      <c r="G107" s="49"/>
      <c r="H107" s="60">
        <f t="shared" si="9"/>
        <v>0</v>
      </c>
      <c r="I107" s="49">
        <f t="shared" si="10"/>
        <v>0</v>
      </c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49">
        <f t="shared" si="11"/>
        <v>0</v>
      </c>
      <c r="V107" s="29">
        <f t="shared" si="12"/>
        <v>0</v>
      </c>
      <c r="W107" s="29">
        <f t="shared" si="13"/>
        <v>0</v>
      </c>
      <c r="X107" s="61">
        <f t="shared" si="16"/>
        <v>0</v>
      </c>
      <c r="Y107" s="61"/>
      <c r="Z107" s="61"/>
      <c r="AA107" s="61"/>
      <c r="AB107" s="61"/>
      <c r="AC107" s="61"/>
      <c r="AD107" s="61"/>
      <c r="AE107" s="49">
        <f t="shared" si="14"/>
        <v>0</v>
      </c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49">
        <f t="shared" si="15"/>
        <v>0</v>
      </c>
    </row>
    <row r="108" spans="1:57" ht="15" hidden="1" customHeight="1" x14ac:dyDescent="0.2">
      <c r="A108" s="36">
        <v>97</v>
      </c>
      <c r="B108" s="59"/>
      <c r="C108" s="38"/>
      <c r="D108" s="38" t="e">
        <f>VLOOKUP(C108,Planilha1!$J$2:$L$206,3,)</f>
        <v>#N/A</v>
      </c>
      <c r="E108" s="39"/>
      <c r="F108" s="40"/>
      <c r="G108" s="49"/>
      <c r="H108" s="60">
        <f t="shared" si="9"/>
        <v>0</v>
      </c>
      <c r="I108" s="49">
        <f t="shared" si="10"/>
        <v>0</v>
      </c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49">
        <f t="shared" si="11"/>
        <v>0</v>
      </c>
      <c r="V108" s="29">
        <f t="shared" si="12"/>
        <v>0</v>
      </c>
      <c r="W108" s="29">
        <f t="shared" si="13"/>
        <v>0</v>
      </c>
      <c r="X108" s="61">
        <f t="shared" si="16"/>
        <v>0</v>
      </c>
      <c r="Y108" s="61"/>
      <c r="Z108" s="61"/>
      <c r="AA108" s="61"/>
      <c r="AB108" s="61"/>
      <c r="AC108" s="61"/>
      <c r="AD108" s="61"/>
      <c r="AE108" s="61">
        <f t="shared" si="14"/>
        <v>0</v>
      </c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49">
        <f t="shared" si="15"/>
        <v>0</v>
      </c>
    </row>
    <row r="109" spans="1:57" ht="15" hidden="1" customHeight="1" x14ac:dyDescent="0.2">
      <c r="A109" s="36">
        <v>98</v>
      </c>
      <c r="B109" s="59"/>
      <c r="C109" s="38"/>
      <c r="D109" s="38" t="e">
        <f>VLOOKUP(C109,Planilha1!$J$2:$L$206,3,)</f>
        <v>#N/A</v>
      </c>
      <c r="E109" s="39"/>
      <c r="F109" s="40"/>
      <c r="G109" s="49"/>
      <c r="H109" s="60">
        <f t="shared" si="9"/>
        <v>0</v>
      </c>
      <c r="I109" s="49">
        <f t="shared" si="10"/>
        <v>0</v>
      </c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49">
        <f t="shared" si="11"/>
        <v>0</v>
      </c>
      <c r="V109" s="29">
        <f t="shared" si="12"/>
        <v>0</v>
      </c>
      <c r="W109" s="29">
        <f t="shared" si="13"/>
        <v>0</v>
      </c>
      <c r="X109" s="61">
        <f t="shared" si="16"/>
        <v>0</v>
      </c>
      <c r="Y109" s="61"/>
      <c r="Z109" s="61"/>
      <c r="AA109" s="61"/>
      <c r="AB109" s="61"/>
      <c r="AC109" s="61"/>
      <c r="AD109" s="61"/>
      <c r="AE109" s="49">
        <f t="shared" si="14"/>
        <v>0</v>
      </c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49">
        <f t="shared" si="15"/>
        <v>0</v>
      </c>
    </row>
    <row r="110" spans="1:57" ht="15" hidden="1" customHeight="1" x14ac:dyDescent="0.2">
      <c r="A110" s="36">
        <v>99</v>
      </c>
      <c r="B110" s="59"/>
      <c r="C110" s="38"/>
      <c r="D110" s="38" t="e">
        <f>VLOOKUP(C110,Planilha1!$J$2:$L$206,3,)</f>
        <v>#N/A</v>
      </c>
      <c r="E110" s="39"/>
      <c r="F110" s="40"/>
      <c r="G110" s="49"/>
      <c r="H110" s="60">
        <f t="shared" si="9"/>
        <v>0</v>
      </c>
      <c r="I110" s="49">
        <f t="shared" si="10"/>
        <v>0</v>
      </c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49">
        <f t="shared" si="11"/>
        <v>0</v>
      </c>
      <c r="V110" s="29">
        <f t="shared" si="12"/>
        <v>0</v>
      </c>
      <c r="W110" s="29">
        <f t="shared" si="13"/>
        <v>0</v>
      </c>
      <c r="X110" s="61">
        <f t="shared" si="16"/>
        <v>0</v>
      </c>
      <c r="Y110" s="61"/>
      <c r="Z110" s="61"/>
      <c r="AA110" s="61"/>
      <c r="AB110" s="61"/>
      <c r="AC110" s="61"/>
      <c r="AD110" s="61"/>
      <c r="AE110" s="61">
        <f t="shared" si="14"/>
        <v>0</v>
      </c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49">
        <f t="shared" si="15"/>
        <v>0</v>
      </c>
    </row>
    <row r="111" spans="1:57" ht="15" hidden="1" customHeight="1" x14ac:dyDescent="0.2">
      <c r="A111" s="36">
        <v>100</v>
      </c>
      <c r="B111" s="59"/>
      <c r="C111" s="38"/>
      <c r="D111" s="38" t="e">
        <f>VLOOKUP(C111,Planilha1!$J$2:$L$206,3,)</f>
        <v>#N/A</v>
      </c>
      <c r="E111" s="39"/>
      <c r="F111" s="40"/>
      <c r="G111" s="49"/>
      <c r="H111" s="60">
        <f t="shared" si="9"/>
        <v>0</v>
      </c>
      <c r="I111" s="49">
        <f t="shared" si="10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49">
        <f t="shared" si="11"/>
        <v>0</v>
      </c>
      <c r="V111" s="29">
        <f t="shared" si="12"/>
        <v>0</v>
      </c>
      <c r="W111" s="29">
        <f t="shared" si="13"/>
        <v>0</v>
      </c>
      <c r="X111" s="61">
        <f t="shared" si="16"/>
        <v>0</v>
      </c>
      <c r="Y111" s="61"/>
      <c r="Z111" s="61"/>
      <c r="AA111" s="61"/>
      <c r="AB111" s="61"/>
      <c r="AC111" s="61"/>
      <c r="AD111" s="61"/>
      <c r="AE111" s="49">
        <f t="shared" si="14"/>
        <v>0</v>
      </c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49">
        <f t="shared" si="15"/>
        <v>0</v>
      </c>
    </row>
    <row r="112" spans="1:57" ht="15" hidden="1" customHeight="1" x14ac:dyDescent="0.2">
      <c r="A112" s="36">
        <v>101</v>
      </c>
      <c r="B112" s="59"/>
      <c r="C112" s="38"/>
      <c r="D112" s="38" t="e">
        <f>VLOOKUP(C112,Planilha1!$J$2:$L$206,3,)</f>
        <v>#N/A</v>
      </c>
      <c r="E112" s="39"/>
      <c r="F112" s="40"/>
      <c r="G112" s="49"/>
      <c r="H112" s="60">
        <f t="shared" si="9"/>
        <v>0</v>
      </c>
      <c r="I112" s="49">
        <f t="shared" si="10"/>
        <v>0</v>
      </c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49">
        <f t="shared" si="11"/>
        <v>0</v>
      </c>
      <c r="V112" s="29">
        <f t="shared" si="12"/>
        <v>0</v>
      </c>
      <c r="W112" s="29">
        <f t="shared" si="13"/>
        <v>0</v>
      </c>
      <c r="X112" s="61">
        <f t="shared" si="16"/>
        <v>0</v>
      </c>
      <c r="Y112" s="61"/>
      <c r="Z112" s="61"/>
      <c r="AA112" s="61"/>
      <c r="AB112" s="61"/>
      <c r="AC112" s="61"/>
      <c r="AD112" s="61"/>
      <c r="AE112" s="61">
        <f t="shared" si="14"/>
        <v>0</v>
      </c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49">
        <f t="shared" si="15"/>
        <v>0</v>
      </c>
    </row>
    <row r="113" spans="1:57" ht="15" hidden="1" customHeight="1" x14ac:dyDescent="0.2">
      <c r="A113" s="36">
        <v>102</v>
      </c>
      <c r="B113" s="59"/>
      <c r="C113" s="38"/>
      <c r="D113" s="38" t="e">
        <f>VLOOKUP(C113,Planilha1!$J$2:$L$206,3,)</f>
        <v>#N/A</v>
      </c>
      <c r="E113" s="39"/>
      <c r="F113" s="40"/>
      <c r="G113" s="49"/>
      <c r="H113" s="60">
        <f t="shared" si="9"/>
        <v>0</v>
      </c>
      <c r="I113" s="49">
        <f t="shared" si="10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49">
        <f t="shared" si="11"/>
        <v>0</v>
      </c>
      <c r="V113" s="29">
        <f t="shared" si="12"/>
        <v>0</v>
      </c>
      <c r="W113" s="29">
        <f t="shared" si="13"/>
        <v>0</v>
      </c>
      <c r="X113" s="61">
        <f t="shared" si="16"/>
        <v>0</v>
      </c>
      <c r="Y113" s="61"/>
      <c r="Z113" s="61"/>
      <c r="AA113" s="61"/>
      <c r="AB113" s="61"/>
      <c r="AC113" s="61"/>
      <c r="AD113" s="61"/>
      <c r="AE113" s="49">
        <f t="shared" si="14"/>
        <v>0</v>
      </c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49">
        <f t="shared" si="15"/>
        <v>0</v>
      </c>
    </row>
    <row r="114" spans="1:57" ht="15" hidden="1" customHeight="1" x14ac:dyDescent="0.2">
      <c r="A114" s="36">
        <v>103</v>
      </c>
      <c r="B114" s="59"/>
      <c r="C114" s="38"/>
      <c r="D114" s="38" t="e">
        <f>VLOOKUP(C114,Planilha1!$J$2:$L$206,3,)</f>
        <v>#N/A</v>
      </c>
      <c r="E114" s="39"/>
      <c r="F114" s="40"/>
      <c r="G114" s="49"/>
      <c r="H114" s="60">
        <f t="shared" si="9"/>
        <v>0</v>
      </c>
      <c r="I114" s="49">
        <f t="shared" si="10"/>
        <v>0</v>
      </c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49">
        <f t="shared" si="11"/>
        <v>0</v>
      </c>
      <c r="V114" s="29">
        <f t="shared" si="12"/>
        <v>0</v>
      </c>
      <c r="W114" s="29">
        <f t="shared" si="13"/>
        <v>0</v>
      </c>
      <c r="X114" s="61">
        <f t="shared" si="16"/>
        <v>0</v>
      </c>
      <c r="Y114" s="61"/>
      <c r="Z114" s="61"/>
      <c r="AA114" s="61"/>
      <c r="AB114" s="61"/>
      <c r="AC114" s="61"/>
      <c r="AD114" s="61"/>
      <c r="AE114" s="61">
        <f t="shared" si="14"/>
        <v>0</v>
      </c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49">
        <f t="shared" si="15"/>
        <v>0</v>
      </c>
    </row>
    <row r="115" spans="1:57" ht="15" hidden="1" customHeight="1" x14ac:dyDescent="0.2">
      <c r="A115" s="36">
        <v>104</v>
      </c>
      <c r="B115" s="59"/>
      <c r="C115" s="38"/>
      <c r="D115" s="38" t="e">
        <f>VLOOKUP(C115,Planilha1!$J$2:$L$206,3,)</f>
        <v>#N/A</v>
      </c>
      <c r="E115" s="39"/>
      <c r="F115" s="40"/>
      <c r="G115" s="49"/>
      <c r="H115" s="60">
        <f t="shared" si="9"/>
        <v>0</v>
      </c>
      <c r="I115" s="49">
        <f t="shared" si="10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49">
        <f t="shared" si="11"/>
        <v>0</v>
      </c>
      <c r="V115" s="29">
        <f t="shared" si="12"/>
        <v>0</v>
      </c>
      <c r="W115" s="29">
        <f t="shared" si="13"/>
        <v>0</v>
      </c>
      <c r="X115" s="61">
        <f t="shared" si="16"/>
        <v>0</v>
      </c>
      <c r="Y115" s="61"/>
      <c r="Z115" s="61"/>
      <c r="AA115" s="61"/>
      <c r="AB115" s="61"/>
      <c r="AC115" s="61"/>
      <c r="AD115" s="61"/>
      <c r="AE115" s="49">
        <f t="shared" si="14"/>
        <v>0</v>
      </c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49">
        <f t="shared" si="15"/>
        <v>0</v>
      </c>
    </row>
    <row r="116" spans="1:57" ht="15" hidden="1" customHeight="1" x14ac:dyDescent="0.2">
      <c r="A116" s="36">
        <v>105</v>
      </c>
      <c r="B116" s="59"/>
      <c r="C116" s="38"/>
      <c r="D116" s="38" t="e">
        <f>VLOOKUP(C116,Planilha1!$J$2:$L$206,3,)</f>
        <v>#N/A</v>
      </c>
      <c r="E116" s="39"/>
      <c r="F116" s="40"/>
      <c r="G116" s="49"/>
      <c r="H116" s="60">
        <f t="shared" si="9"/>
        <v>0</v>
      </c>
      <c r="I116" s="49">
        <f t="shared" si="10"/>
        <v>0</v>
      </c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49">
        <f t="shared" si="11"/>
        <v>0</v>
      </c>
      <c r="V116" s="29">
        <f t="shared" si="12"/>
        <v>0</v>
      </c>
      <c r="W116" s="29">
        <f t="shared" si="13"/>
        <v>0</v>
      </c>
      <c r="X116" s="61">
        <f t="shared" si="16"/>
        <v>0</v>
      </c>
      <c r="Y116" s="61"/>
      <c r="Z116" s="61"/>
      <c r="AA116" s="61"/>
      <c r="AB116" s="61"/>
      <c r="AC116" s="61"/>
      <c r="AD116" s="61"/>
      <c r="AE116" s="61">
        <f t="shared" si="14"/>
        <v>0</v>
      </c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49">
        <f t="shared" si="15"/>
        <v>0</v>
      </c>
    </row>
    <row r="117" spans="1:57" ht="15" hidden="1" customHeight="1" x14ac:dyDescent="0.2">
      <c r="A117" s="36">
        <v>106</v>
      </c>
      <c r="B117" s="59"/>
      <c r="C117" s="38"/>
      <c r="D117" s="38" t="e">
        <f>VLOOKUP(C117,Planilha1!$J$2:$L$206,3,)</f>
        <v>#N/A</v>
      </c>
      <c r="E117" s="39"/>
      <c r="F117" s="40"/>
      <c r="G117" s="49"/>
      <c r="H117" s="60">
        <f t="shared" si="9"/>
        <v>0</v>
      </c>
      <c r="I117" s="49">
        <f t="shared" si="10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49">
        <f t="shared" si="11"/>
        <v>0</v>
      </c>
      <c r="V117" s="29">
        <f t="shared" si="12"/>
        <v>0</v>
      </c>
      <c r="W117" s="29">
        <f t="shared" si="13"/>
        <v>0</v>
      </c>
      <c r="X117" s="61">
        <f t="shared" si="16"/>
        <v>0</v>
      </c>
      <c r="Y117" s="61"/>
      <c r="Z117" s="61"/>
      <c r="AA117" s="61"/>
      <c r="AB117" s="61"/>
      <c r="AC117" s="61"/>
      <c r="AD117" s="61"/>
      <c r="AE117" s="49">
        <f t="shared" si="14"/>
        <v>0</v>
      </c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49">
        <f t="shared" si="15"/>
        <v>0</v>
      </c>
    </row>
    <row r="118" spans="1:57" ht="15" hidden="1" customHeight="1" x14ac:dyDescent="0.2">
      <c r="A118" s="36">
        <v>107</v>
      </c>
      <c r="B118" s="59"/>
      <c r="C118" s="38"/>
      <c r="D118" s="38" t="e">
        <f>VLOOKUP(C118,Planilha1!$J$2:$L$206,3,)</f>
        <v>#N/A</v>
      </c>
      <c r="E118" s="39"/>
      <c r="F118" s="40"/>
      <c r="G118" s="49"/>
      <c r="H118" s="60">
        <f t="shared" si="9"/>
        <v>0</v>
      </c>
      <c r="I118" s="49">
        <f t="shared" si="10"/>
        <v>0</v>
      </c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49">
        <f t="shared" si="11"/>
        <v>0</v>
      </c>
      <c r="V118" s="29">
        <f t="shared" si="12"/>
        <v>0</v>
      </c>
      <c r="W118" s="29">
        <f t="shared" si="13"/>
        <v>0</v>
      </c>
      <c r="X118" s="61">
        <f t="shared" si="16"/>
        <v>0</v>
      </c>
      <c r="Y118" s="61"/>
      <c r="Z118" s="61"/>
      <c r="AA118" s="61"/>
      <c r="AB118" s="61"/>
      <c r="AC118" s="61"/>
      <c r="AD118" s="61"/>
      <c r="AE118" s="61">
        <f t="shared" si="14"/>
        <v>0</v>
      </c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49">
        <f t="shared" si="15"/>
        <v>0</v>
      </c>
    </row>
    <row r="119" spans="1:57" ht="15" hidden="1" customHeight="1" x14ac:dyDescent="0.2">
      <c r="A119" s="36">
        <v>108</v>
      </c>
      <c r="B119" s="59"/>
      <c r="C119" s="38"/>
      <c r="D119" s="38" t="e">
        <f>VLOOKUP(C119,Planilha1!$J$2:$L$206,3,)</f>
        <v>#N/A</v>
      </c>
      <c r="E119" s="39"/>
      <c r="F119" s="40"/>
      <c r="G119" s="49"/>
      <c r="H119" s="60">
        <f t="shared" si="9"/>
        <v>0</v>
      </c>
      <c r="I119" s="49">
        <f t="shared" si="10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49">
        <f t="shared" si="11"/>
        <v>0</v>
      </c>
      <c r="V119" s="29">
        <f t="shared" si="12"/>
        <v>0</v>
      </c>
      <c r="W119" s="29">
        <f t="shared" si="13"/>
        <v>0</v>
      </c>
      <c r="X119" s="61">
        <f t="shared" si="16"/>
        <v>0</v>
      </c>
      <c r="Y119" s="61"/>
      <c r="Z119" s="61"/>
      <c r="AA119" s="61"/>
      <c r="AB119" s="61"/>
      <c r="AC119" s="61"/>
      <c r="AD119" s="61"/>
      <c r="AE119" s="49">
        <f t="shared" si="14"/>
        <v>0</v>
      </c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49">
        <f t="shared" si="15"/>
        <v>0</v>
      </c>
    </row>
    <row r="120" spans="1:57" ht="15" hidden="1" customHeight="1" x14ac:dyDescent="0.2">
      <c r="A120" s="36">
        <v>109</v>
      </c>
      <c r="B120" s="59"/>
      <c r="C120" s="38"/>
      <c r="D120" s="38" t="e">
        <f>VLOOKUP(C120,Planilha1!$J$2:$L$206,3,)</f>
        <v>#N/A</v>
      </c>
      <c r="E120" s="39"/>
      <c r="F120" s="40"/>
      <c r="G120" s="49"/>
      <c r="H120" s="60">
        <f t="shared" si="9"/>
        <v>0</v>
      </c>
      <c r="I120" s="49">
        <f t="shared" si="10"/>
        <v>0</v>
      </c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49">
        <f t="shared" si="11"/>
        <v>0</v>
      </c>
      <c r="V120" s="29">
        <f t="shared" si="12"/>
        <v>0</v>
      </c>
      <c r="W120" s="29">
        <f t="shared" si="13"/>
        <v>0</v>
      </c>
      <c r="X120" s="61">
        <f t="shared" si="16"/>
        <v>0</v>
      </c>
      <c r="Y120" s="61"/>
      <c r="Z120" s="61"/>
      <c r="AA120" s="61"/>
      <c r="AB120" s="61"/>
      <c r="AC120" s="61"/>
      <c r="AD120" s="61"/>
      <c r="AE120" s="61">
        <f t="shared" si="14"/>
        <v>0</v>
      </c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49">
        <f t="shared" si="15"/>
        <v>0</v>
      </c>
    </row>
    <row r="121" spans="1:57" ht="15" hidden="1" customHeight="1" x14ac:dyDescent="0.2">
      <c r="A121" s="36">
        <v>110</v>
      </c>
      <c r="B121" s="59"/>
      <c r="C121" s="38"/>
      <c r="D121" s="38" t="e">
        <f>VLOOKUP(C121,Planilha1!$J$2:$L$206,3,)</f>
        <v>#N/A</v>
      </c>
      <c r="E121" s="39"/>
      <c r="F121" s="40"/>
      <c r="G121" s="49"/>
      <c r="H121" s="60">
        <f t="shared" si="9"/>
        <v>0</v>
      </c>
      <c r="I121" s="49">
        <f t="shared" si="10"/>
        <v>0</v>
      </c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49">
        <f t="shared" si="11"/>
        <v>0</v>
      </c>
      <c r="V121" s="29">
        <f t="shared" si="12"/>
        <v>0</v>
      </c>
      <c r="W121" s="29">
        <f t="shared" si="13"/>
        <v>0</v>
      </c>
      <c r="X121" s="61">
        <f t="shared" si="16"/>
        <v>0</v>
      </c>
      <c r="Y121" s="61"/>
      <c r="Z121" s="61"/>
      <c r="AA121" s="61"/>
      <c r="AB121" s="61"/>
      <c r="AC121" s="61"/>
      <c r="AD121" s="61"/>
      <c r="AE121" s="49">
        <f t="shared" si="14"/>
        <v>0</v>
      </c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49">
        <f t="shared" si="15"/>
        <v>0</v>
      </c>
    </row>
    <row r="122" spans="1:57" ht="15" hidden="1" customHeight="1" x14ac:dyDescent="0.2">
      <c r="A122" s="36">
        <v>111</v>
      </c>
      <c r="B122" s="59"/>
      <c r="C122" s="38"/>
      <c r="D122" s="38" t="e">
        <f>VLOOKUP(C122,Planilha1!$J$2:$L$206,3,)</f>
        <v>#N/A</v>
      </c>
      <c r="E122" s="39"/>
      <c r="F122" s="40"/>
      <c r="G122" s="49"/>
      <c r="H122" s="60">
        <f t="shared" si="9"/>
        <v>0</v>
      </c>
      <c r="I122" s="49">
        <f t="shared" si="10"/>
        <v>0</v>
      </c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49">
        <f t="shared" si="11"/>
        <v>0</v>
      </c>
      <c r="V122" s="29">
        <f t="shared" si="12"/>
        <v>0</v>
      </c>
      <c r="W122" s="29">
        <f t="shared" si="13"/>
        <v>0</v>
      </c>
      <c r="X122" s="61">
        <f t="shared" si="16"/>
        <v>0</v>
      </c>
      <c r="Y122" s="61"/>
      <c r="Z122" s="61"/>
      <c r="AA122" s="61"/>
      <c r="AB122" s="61"/>
      <c r="AC122" s="61"/>
      <c r="AD122" s="61"/>
      <c r="AE122" s="61">
        <f t="shared" si="14"/>
        <v>0</v>
      </c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49">
        <f t="shared" si="15"/>
        <v>0</v>
      </c>
    </row>
    <row r="123" spans="1:57" ht="15" hidden="1" customHeight="1" x14ac:dyDescent="0.2">
      <c r="A123" s="36">
        <v>112</v>
      </c>
      <c r="B123" s="59"/>
      <c r="C123" s="38"/>
      <c r="D123" s="38" t="e">
        <f>VLOOKUP(C123,Planilha1!$J$2:$L$206,3,)</f>
        <v>#N/A</v>
      </c>
      <c r="E123" s="39"/>
      <c r="F123" s="40"/>
      <c r="G123" s="49"/>
      <c r="H123" s="60">
        <f t="shared" si="9"/>
        <v>0</v>
      </c>
      <c r="I123" s="49">
        <f t="shared" si="10"/>
        <v>0</v>
      </c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49">
        <f t="shared" si="11"/>
        <v>0</v>
      </c>
      <c r="V123" s="29">
        <f t="shared" si="12"/>
        <v>0</v>
      </c>
      <c r="W123" s="29">
        <f t="shared" si="13"/>
        <v>0</v>
      </c>
      <c r="X123" s="61">
        <f t="shared" si="16"/>
        <v>0</v>
      </c>
      <c r="Y123" s="61"/>
      <c r="Z123" s="61"/>
      <c r="AA123" s="61"/>
      <c r="AB123" s="61"/>
      <c r="AC123" s="61"/>
      <c r="AD123" s="61"/>
      <c r="AE123" s="49">
        <f t="shared" si="14"/>
        <v>0</v>
      </c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49">
        <f t="shared" si="15"/>
        <v>0</v>
      </c>
    </row>
    <row r="124" spans="1:57" ht="15" hidden="1" customHeight="1" x14ac:dyDescent="0.2">
      <c r="A124" s="36">
        <v>113</v>
      </c>
      <c r="B124" s="59"/>
      <c r="C124" s="38"/>
      <c r="D124" s="38" t="e">
        <f>VLOOKUP(C124,Planilha1!$J$2:$L$206,3,)</f>
        <v>#N/A</v>
      </c>
      <c r="E124" s="39"/>
      <c r="F124" s="40"/>
      <c r="G124" s="49"/>
      <c r="H124" s="60">
        <f t="shared" si="9"/>
        <v>0</v>
      </c>
      <c r="I124" s="49">
        <f t="shared" si="10"/>
        <v>0</v>
      </c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49">
        <f t="shared" si="11"/>
        <v>0</v>
      </c>
      <c r="V124" s="29">
        <f t="shared" si="12"/>
        <v>0</v>
      </c>
      <c r="W124" s="29">
        <f t="shared" si="13"/>
        <v>0</v>
      </c>
      <c r="X124" s="61">
        <f t="shared" si="16"/>
        <v>0</v>
      </c>
      <c r="Y124" s="61"/>
      <c r="Z124" s="61"/>
      <c r="AA124" s="61"/>
      <c r="AB124" s="61"/>
      <c r="AC124" s="61"/>
      <c r="AD124" s="61"/>
      <c r="AE124" s="61">
        <f t="shared" si="14"/>
        <v>0</v>
      </c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49">
        <f t="shared" si="15"/>
        <v>0</v>
      </c>
    </row>
    <row r="125" spans="1:57" ht="15" hidden="1" customHeight="1" x14ac:dyDescent="0.2">
      <c r="A125" s="36">
        <v>114</v>
      </c>
      <c r="B125" s="59"/>
      <c r="C125" s="38"/>
      <c r="D125" s="38" t="e">
        <f>VLOOKUP(C125,Planilha1!$J$2:$L$206,3,)</f>
        <v>#N/A</v>
      </c>
      <c r="E125" s="39"/>
      <c r="F125" s="40"/>
      <c r="G125" s="49"/>
      <c r="H125" s="60">
        <f t="shared" si="9"/>
        <v>0</v>
      </c>
      <c r="I125" s="49">
        <f t="shared" si="10"/>
        <v>0</v>
      </c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49">
        <f t="shared" si="11"/>
        <v>0</v>
      </c>
      <c r="V125" s="29">
        <f t="shared" si="12"/>
        <v>0</v>
      </c>
      <c r="W125" s="29">
        <f t="shared" si="13"/>
        <v>0</v>
      </c>
      <c r="X125" s="61">
        <f t="shared" si="16"/>
        <v>0</v>
      </c>
      <c r="Y125" s="61"/>
      <c r="Z125" s="61"/>
      <c r="AA125" s="61"/>
      <c r="AB125" s="61"/>
      <c r="AC125" s="61"/>
      <c r="AD125" s="61"/>
      <c r="AE125" s="49">
        <f t="shared" si="14"/>
        <v>0</v>
      </c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49">
        <f t="shared" si="15"/>
        <v>0</v>
      </c>
    </row>
    <row r="126" spans="1:57" ht="15" hidden="1" customHeight="1" x14ac:dyDescent="0.2">
      <c r="A126" s="36">
        <v>115</v>
      </c>
      <c r="B126" s="59"/>
      <c r="C126" s="38"/>
      <c r="D126" s="38" t="e">
        <f>VLOOKUP(C126,Planilha1!$J$2:$L$206,3,)</f>
        <v>#N/A</v>
      </c>
      <c r="E126" s="39"/>
      <c r="F126" s="40"/>
      <c r="G126" s="49"/>
      <c r="H126" s="60">
        <f t="shared" si="9"/>
        <v>0</v>
      </c>
      <c r="I126" s="49">
        <f t="shared" si="10"/>
        <v>0</v>
      </c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49">
        <f t="shared" si="11"/>
        <v>0</v>
      </c>
      <c r="V126" s="29">
        <f t="shared" si="12"/>
        <v>0</v>
      </c>
      <c r="W126" s="29">
        <f t="shared" si="13"/>
        <v>0</v>
      </c>
      <c r="X126" s="61">
        <f t="shared" si="16"/>
        <v>0</v>
      </c>
      <c r="Y126" s="61"/>
      <c r="Z126" s="61"/>
      <c r="AA126" s="61"/>
      <c r="AB126" s="61"/>
      <c r="AC126" s="61"/>
      <c r="AD126" s="61"/>
      <c r="AE126" s="61">
        <f t="shared" si="14"/>
        <v>0</v>
      </c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49">
        <f t="shared" si="15"/>
        <v>0</v>
      </c>
    </row>
    <row r="127" spans="1:57" ht="15" hidden="1" customHeight="1" x14ac:dyDescent="0.2">
      <c r="A127" s="36">
        <v>116</v>
      </c>
      <c r="B127" s="59"/>
      <c r="C127" s="38"/>
      <c r="D127" s="38" t="e">
        <f>VLOOKUP(C127,Planilha1!$J$2:$L$206,3,)</f>
        <v>#N/A</v>
      </c>
      <c r="E127" s="39"/>
      <c r="F127" s="40"/>
      <c r="G127" s="49"/>
      <c r="H127" s="60">
        <f t="shared" si="9"/>
        <v>0</v>
      </c>
      <c r="I127" s="49">
        <f t="shared" si="10"/>
        <v>0</v>
      </c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49">
        <f t="shared" si="11"/>
        <v>0</v>
      </c>
      <c r="V127" s="29">
        <f t="shared" si="12"/>
        <v>0</v>
      </c>
      <c r="W127" s="29">
        <f t="shared" si="13"/>
        <v>0</v>
      </c>
      <c r="X127" s="61">
        <f t="shared" si="16"/>
        <v>0</v>
      </c>
      <c r="Y127" s="61"/>
      <c r="Z127" s="61"/>
      <c r="AA127" s="61"/>
      <c r="AB127" s="61"/>
      <c r="AC127" s="61"/>
      <c r="AD127" s="61"/>
      <c r="AE127" s="49">
        <f t="shared" si="14"/>
        <v>0</v>
      </c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49">
        <f t="shared" si="15"/>
        <v>0</v>
      </c>
    </row>
    <row r="128" spans="1:57" ht="15" hidden="1" customHeight="1" x14ac:dyDescent="0.2">
      <c r="A128" s="36">
        <v>117</v>
      </c>
      <c r="B128" s="59"/>
      <c r="C128" s="38"/>
      <c r="D128" s="38" t="e">
        <f>VLOOKUP(C128,Planilha1!$J$2:$L$206,3,)</f>
        <v>#N/A</v>
      </c>
      <c r="E128" s="39"/>
      <c r="F128" s="40"/>
      <c r="G128" s="49"/>
      <c r="H128" s="60">
        <f t="shared" si="9"/>
        <v>0</v>
      </c>
      <c r="I128" s="49">
        <f t="shared" si="10"/>
        <v>0</v>
      </c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49">
        <f t="shared" si="11"/>
        <v>0</v>
      </c>
      <c r="V128" s="29">
        <f t="shared" si="12"/>
        <v>0</v>
      </c>
      <c r="W128" s="29">
        <f t="shared" si="13"/>
        <v>0</v>
      </c>
      <c r="X128" s="61">
        <f t="shared" si="16"/>
        <v>0</v>
      </c>
      <c r="Y128" s="61"/>
      <c r="Z128" s="61"/>
      <c r="AA128" s="61"/>
      <c r="AB128" s="61"/>
      <c r="AC128" s="61"/>
      <c r="AD128" s="61"/>
      <c r="AE128" s="61">
        <f t="shared" si="14"/>
        <v>0</v>
      </c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49">
        <f t="shared" si="15"/>
        <v>0</v>
      </c>
    </row>
    <row r="129" spans="1:57" ht="15" hidden="1" customHeight="1" x14ac:dyDescent="0.2">
      <c r="A129" s="36">
        <v>118</v>
      </c>
      <c r="B129" s="59"/>
      <c r="C129" s="38"/>
      <c r="D129" s="38" t="e">
        <f>VLOOKUP(C129,Planilha1!$J$2:$L$206,3,)</f>
        <v>#N/A</v>
      </c>
      <c r="E129" s="39"/>
      <c r="F129" s="40"/>
      <c r="G129" s="49"/>
      <c r="H129" s="60">
        <f t="shared" si="9"/>
        <v>0</v>
      </c>
      <c r="I129" s="49">
        <f t="shared" si="10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49">
        <f t="shared" si="11"/>
        <v>0</v>
      </c>
      <c r="V129" s="29">
        <f t="shared" si="12"/>
        <v>0</v>
      </c>
      <c r="W129" s="29">
        <f t="shared" si="13"/>
        <v>0</v>
      </c>
      <c r="X129" s="61">
        <f t="shared" si="16"/>
        <v>0</v>
      </c>
      <c r="Y129" s="61"/>
      <c r="Z129" s="61"/>
      <c r="AA129" s="61"/>
      <c r="AB129" s="61"/>
      <c r="AC129" s="61"/>
      <c r="AD129" s="61"/>
      <c r="AE129" s="49">
        <f t="shared" si="14"/>
        <v>0</v>
      </c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49">
        <f t="shared" si="15"/>
        <v>0</v>
      </c>
    </row>
    <row r="130" spans="1:57" ht="15" hidden="1" customHeight="1" x14ac:dyDescent="0.2">
      <c r="A130" s="36">
        <v>119</v>
      </c>
      <c r="B130" s="59"/>
      <c r="C130" s="38"/>
      <c r="D130" s="38" t="e">
        <f>VLOOKUP(C130,Planilha1!$J$2:$L$206,3,)</f>
        <v>#N/A</v>
      </c>
      <c r="E130" s="39"/>
      <c r="F130" s="40"/>
      <c r="G130" s="49"/>
      <c r="H130" s="60">
        <f t="shared" si="9"/>
        <v>0</v>
      </c>
      <c r="I130" s="49">
        <f t="shared" si="10"/>
        <v>0</v>
      </c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49">
        <f t="shared" si="11"/>
        <v>0</v>
      </c>
      <c r="V130" s="29">
        <f t="shared" si="12"/>
        <v>0</v>
      </c>
      <c r="W130" s="29">
        <f t="shared" si="13"/>
        <v>0</v>
      </c>
      <c r="X130" s="61">
        <f t="shared" si="16"/>
        <v>0</v>
      </c>
      <c r="Y130" s="61"/>
      <c r="Z130" s="61"/>
      <c r="AA130" s="61"/>
      <c r="AB130" s="61"/>
      <c r="AC130" s="61"/>
      <c r="AD130" s="61"/>
      <c r="AE130" s="61">
        <f t="shared" si="14"/>
        <v>0</v>
      </c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49">
        <f t="shared" si="15"/>
        <v>0</v>
      </c>
    </row>
    <row r="131" spans="1:57" ht="15" hidden="1" customHeight="1" x14ac:dyDescent="0.2">
      <c r="A131" s="36">
        <v>120</v>
      </c>
      <c r="B131" s="59"/>
      <c r="C131" s="38"/>
      <c r="D131" s="38" t="e">
        <f>VLOOKUP(C131,Planilha1!$J$2:$L$206,3,)</f>
        <v>#N/A</v>
      </c>
      <c r="E131" s="39"/>
      <c r="F131" s="40"/>
      <c r="G131" s="49"/>
      <c r="H131" s="60">
        <f t="shared" si="9"/>
        <v>0</v>
      </c>
      <c r="I131" s="49">
        <f t="shared" si="10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49">
        <f t="shared" si="11"/>
        <v>0</v>
      </c>
      <c r="V131" s="29">
        <f t="shared" si="12"/>
        <v>0</v>
      </c>
      <c r="W131" s="29">
        <f t="shared" si="13"/>
        <v>0</v>
      </c>
      <c r="X131" s="61">
        <f t="shared" si="16"/>
        <v>0</v>
      </c>
      <c r="Y131" s="61"/>
      <c r="Z131" s="61"/>
      <c r="AA131" s="61"/>
      <c r="AB131" s="61"/>
      <c r="AC131" s="61"/>
      <c r="AD131" s="61"/>
      <c r="AE131" s="49">
        <f t="shared" si="14"/>
        <v>0</v>
      </c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49">
        <f t="shared" si="15"/>
        <v>0</v>
      </c>
    </row>
    <row r="132" spans="1:57" ht="15" hidden="1" customHeight="1" x14ac:dyDescent="0.2">
      <c r="A132" s="36">
        <v>121</v>
      </c>
      <c r="B132" s="59"/>
      <c r="C132" s="38"/>
      <c r="D132" s="38" t="e">
        <f>VLOOKUP(C132,Planilha1!$J$2:$L$206,3,)</f>
        <v>#N/A</v>
      </c>
      <c r="E132" s="39"/>
      <c r="F132" s="40"/>
      <c r="G132" s="49"/>
      <c r="H132" s="60">
        <f t="shared" si="9"/>
        <v>0</v>
      </c>
      <c r="I132" s="49">
        <f t="shared" si="10"/>
        <v>0</v>
      </c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49">
        <f t="shared" si="11"/>
        <v>0</v>
      </c>
      <c r="V132" s="29">
        <f t="shared" si="12"/>
        <v>0</v>
      </c>
      <c r="W132" s="29">
        <f t="shared" si="13"/>
        <v>0</v>
      </c>
      <c r="X132" s="61">
        <f t="shared" si="16"/>
        <v>0</v>
      </c>
      <c r="Y132" s="61"/>
      <c r="Z132" s="61"/>
      <c r="AA132" s="61"/>
      <c r="AB132" s="61"/>
      <c r="AC132" s="61"/>
      <c r="AD132" s="61"/>
      <c r="AE132" s="61">
        <f t="shared" si="14"/>
        <v>0</v>
      </c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49">
        <f t="shared" si="15"/>
        <v>0</v>
      </c>
    </row>
    <row r="133" spans="1:57" ht="15" hidden="1" customHeight="1" x14ac:dyDescent="0.2">
      <c r="A133" s="36">
        <v>122</v>
      </c>
      <c r="B133" s="59"/>
      <c r="C133" s="38"/>
      <c r="D133" s="38" t="e">
        <f>VLOOKUP(C133,Planilha1!$J$2:$L$206,3,)</f>
        <v>#N/A</v>
      </c>
      <c r="E133" s="39"/>
      <c r="F133" s="40"/>
      <c r="G133" s="49"/>
      <c r="H133" s="60">
        <f t="shared" si="9"/>
        <v>0</v>
      </c>
      <c r="I133" s="49">
        <f t="shared" si="10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49">
        <f t="shared" si="11"/>
        <v>0</v>
      </c>
      <c r="V133" s="29">
        <f t="shared" si="12"/>
        <v>0</v>
      </c>
      <c r="W133" s="29">
        <f t="shared" si="13"/>
        <v>0</v>
      </c>
      <c r="X133" s="61">
        <f t="shared" si="16"/>
        <v>0</v>
      </c>
      <c r="Y133" s="61"/>
      <c r="Z133" s="61"/>
      <c r="AA133" s="61"/>
      <c r="AB133" s="61"/>
      <c r="AC133" s="61"/>
      <c r="AD133" s="61"/>
      <c r="AE133" s="49">
        <f t="shared" si="14"/>
        <v>0</v>
      </c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49">
        <f t="shared" si="15"/>
        <v>0</v>
      </c>
    </row>
    <row r="134" spans="1:57" ht="15" hidden="1" customHeight="1" x14ac:dyDescent="0.2">
      <c r="A134" s="36">
        <v>123</v>
      </c>
      <c r="B134" s="59"/>
      <c r="C134" s="38"/>
      <c r="D134" s="38" t="e">
        <f>VLOOKUP(C134,Planilha1!$J$2:$L$206,3,)</f>
        <v>#N/A</v>
      </c>
      <c r="E134" s="39"/>
      <c r="F134" s="40"/>
      <c r="G134" s="49"/>
      <c r="H134" s="60">
        <f t="shared" si="9"/>
        <v>0</v>
      </c>
      <c r="I134" s="49">
        <f t="shared" si="10"/>
        <v>0</v>
      </c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49">
        <f t="shared" si="11"/>
        <v>0</v>
      </c>
      <c r="V134" s="29">
        <f t="shared" si="12"/>
        <v>0</v>
      </c>
      <c r="W134" s="29">
        <f t="shared" si="13"/>
        <v>0</v>
      </c>
      <c r="X134" s="61">
        <f t="shared" si="16"/>
        <v>0</v>
      </c>
      <c r="Y134" s="61"/>
      <c r="Z134" s="61"/>
      <c r="AA134" s="61"/>
      <c r="AB134" s="61"/>
      <c r="AC134" s="61"/>
      <c r="AD134" s="61"/>
      <c r="AE134" s="61">
        <f t="shared" si="14"/>
        <v>0</v>
      </c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49">
        <f t="shared" si="15"/>
        <v>0</v>
      </c>
    </row>
    <row r="135" spans="1:57" ht="15" hidden="1" customHeight="1" x14ac:dyDescent="0.2">
      <c r="A135" s="36">
        <v>124</v>
      </c>
      <c r="B135" s="59"/>
      <c r="C135" s="38"/>
      <c r="D135" s="38" t="e">
        <f>VLOOKUP(C135,Planilha1!$J$2:$L$206,3,)</f>
        <v>#N/A</v>
      </c>
      <c r="E135" s="39"/>
      <c r="F135" s="40"/>
      <c r="G135" s="49"/>
      <c r="H135" s="60">
        <f t="shared" si="9"/>
        <v>0</v>
      </c>
      <c r="I135" s="49">
        <f t="shared" si="10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49">
        <f t="shared" si="11"/>
        <v>0</v>
      </c>
      <c r="V135" s="29">
        <f t="shared" si="12"/>
        <v>0</v>
      </c>
      <c r="W135" s="29">
        <f t="shared" si="13"/>
        <v>0</v>
      </c>
      <c r="X135" s="61">
        <f t="shared" si="16"/>
        <v>0</v>
      </c>
      <c r="Y135" s="61"/>
      <c r="Z135" s="61"/>
      <c r="AA135" s="61"/>
      <c r="AB135" s="61"/>
      <c r="AC135" s="61"/>
      <c r="AD135" s="61"/>
      <c r="AE135" s="49">
        <f t="shared" si="14"/>
        <v>0</v>
      </c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49">
        <f t="shared" si="15"/>
        <v>0</v>
      </c>
    </row>
    <row r="136" spans="1:57" ht="15" hidden="1" customHeight="1" x14ac:dyDescent="0.2">
      <c r="A136" s="36">
        <v>125</v>
      </c>
      <c r="B136" s="59"/>
      <c r="C136" s="38"/>
      <c r="D136" s="38" t="e">
        <f>VLOOKUP(C136,Planilha1!$J$2:$L$206,3,)</f>
        <v>#N/A</v>
      </c>
      <c r="E136" s="39"/>
      <c r="F136" s="40"/>
      <c r="G136" s="49"/>
      <c r="H136" s="60">
        <f t="shared" si="9"/>
        <v>0</v>
      </c>
      <c r="I136" s="49">
        <f t="shared" si="10"/>
        <v>0</v>
      </c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49">
        <f t="shared" si="11"/>
        <v>0</v>
      </c>
      <c r="V136" s="29">
        <f t="shared" si="12"/>
        <v>0</v>
      </c>
      <c r="W136" s="29">
        <f t="shared" si="13"/>
        <v>0</v>
      </c>
      <c r="X136" s="61">
        <f t="shared" si="16"/>
        <v>0</v>
      </c>
      <c r="Y136" s="61"/>
      <c r="Z136" s="61"/>
      <c r="AA136" s="61"/>
      <c r="AB136" s="61"/>
      <c r="AC136" s="61"/>
      <c r="AD136" s="61"/>
      <c r="AE136" s="61">
        <f t="shared" si="14"/>
        <v>0</v>
      </c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49">
        <f t="shared" si="15"/>
        <v>0</v>
      </c>
    </row>
    <row r="137" spans="1:57" ht="15" hidden="1" customHeight="1" x14ac:dyDescent="0.2">
      <c r="A137" s="36">
        <v>126</v>
      </c>
      <c r="B137" s="59"/>
      <c r="C137" s="38"/>
      <c r="D137" s="38" t="e">
        <f>VLOOKUP(C137,Planilha1!$J$2:$L$206,3,)</f>
        <v>#N/A</v>
      </c>
      <c r="E137" s="39"/>
      <c r="F137" s="40"/>
      <c r="G137" s="49"/>
      <c r="H137" s="60">
        <f t="shared" si="9"/>
        <v>0</v>
      </c>
      <c r="I137" s="49">
        <f t="shared" si="10"/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49">
        <f t="shared" si="11"/>
        <v>0</v>
      </c>
      <c r="V137" s="29">
        <f t="shared" si="12"/>
        <v>0</v>
      </c>
      <c r="W137" s="29">
        <f t="shared" si="13"/>
        <v>0</v>
      </c>
      <c r="X137" s="61">
        <f t="shared" si="16"/>
        <v>0</v>
      </c>
      <c r="Y137" s="61"/>
      <c r="Z137" s="61"/>
      <c r="AA137" s="61"/>
      <c r="AB137" s="61"/>
      <c r="AC137" s="61"/>
      <c r="AD137" s="61"/>
      <c r="AE137" s="49">
        <f t="shared" si="14"/>
        <v>0</v>
      </c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49">
        <f t="shared" si="15"/>
        <v>0</v>
      </c>
    </row>
    <row r="138" spans="1:57" ht="15" hidden="1" customHeight="1" x14ac:dyDescent="0.2">
      <c r="A138" s="36">
        <v>127</v>
      </c>
      <c r="B138" s="59"/>
      <c r="C138" s="38"/>
      <c r="D138" s="38" t="e">
        <f>VLOOKUP(C138,Planilha1!$J$2:$L$206,3,)</f>
        <v>#N/A</v>
      </c>
      <c r="E138" s="39"/>
      <c r="F138" s="40"/>
      <c r="G138" s="49"/>
      <c r="H138" s="60">
        <f t="shared" si="9"/>
        <v>0</v>
      </c>
      <c r="I138" s="49">
        <f t="shared" si="10"/>
        <v>0</v>
      </c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49">
        <f t="shared" si="11"/>
        <v>0</v>
      </c>
      <c r="V138" s="29">
        <f t="shared" si="12"/>
        <v>0</v>
      </c>
      <c r="W138" s="29">
        <f t="shared" si="13"/>
        <v>0</v>
      </c>
      <c r="X138" s="61">
        <f t="shared" si="16"/>
        <v>0</v>
      </c>
      <c r="Y138" s="61"/>
      <c r="Z138" s="61"/>
      <c r="AA138" s="61"/>
      <c r="AB138" s="61"/>
      <c r="AC138" s="61"/>
      <c r="AD138" s="61"/>
      <c r="AE138" s="61">
        <f t="shared" si="14"/>
        <v>0</v>
      </c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49">
        <f t="shared" si="15"/>
        <v>0</v>
      </c>
    </row>
    <row r="139" spans="1:57" ht="15" hidden="1" customHeight="1" x14ac:dyDescent="0.2">
      <c r="A139" s="36">
        <v>128</v>
      </c>
      <c r="B139" s="59"/>
      <c r="C139" s="38"/>
      <c r="D139" s="38" t="e">
        <f>VLOOKUP(C139,Planilha1!$J$2:$L$206,3,)</f>
        <v>#N/A</v>
      </c>
      <c r="E139" s="39"/>
      <c r="F139" s="40"/>
      <c r="G139" s="49"/>
      <c r="H139" s="60">
        <f t="shared" si="9"/>
        <v>0</v>
      </c>
      <c r="I139" s="49">
        <f t="shared" si="10"/>
        <v>0</v>
      </c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49">
        <f t="shared" si="11"/>
        <v>0</v>
      </c>
      <c r="V139" s="29">
        <f t="shared" si="12"/>
        <v>0</v>
      </c>
      <c r="W139" s="29">
        <f t="shared" si="13"/>
        <v>0</v>
      </c>
      <c r="X139" s="61">
        <f t="shared" si="16"/>
        <v>0</v>
      </c>
      <c r="Y139" s="61"/>
      <c r="Z139" s="61"/>
      <c r="AA139" s="61"/>
      <c r="AB139" s="61"/>
      <c r="AC139" s="61"/>
      <c r="AD139" s="61"/>
      <c r="AE139" s="49">
        <f t="shared" si="14"/>
        <v>0</v>
      </c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49">
        <f t="shared" si="15"/>
        <v>0</v>
      </c>
    </row>
    <row r="140" spans="1:57" ht="15" hidden="1" customHeight="1" x14ac:dyDescent="0.2">
      <c r="A140" s="36">
        <v>129</v>
      </c>
      <c r="B140" s="59"/>
      <c r="C140" s="38"/>
      <c r="D140" s="38" t="e">
        <f>VLOOKUP(C140,Planilha1!$J$2:$L$206,3,)</f>
        <v>#N/A</v>
      </c>
      <c r="E140" s="39"/>
      <c r="F140" s="40"/>
      <c r="G140" s="49"/>
      <c r="H140" s="60">
        <f t="shared" si="9"/>
        <v>0</v>
      </c>
      <c r="I140" s="49">
        <f t="shared" si="10"/>
        <v>0</v>
      </c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49">
        <f t="shared" si="11"/>
        <v>0</v>
      </c>
      <c r="V140" s="29">
        <f t="shared" si="12"/>
        <v>0</v>
      </c>
      <c r="W140" s="29">
        <f t="shared" si="13"/>
        <v>0</v>
      </c>
      <c r="X140" s="61">
        <f t="shared" si="16"/>
        <v>0</v>
      </c>
      <c r="Y140" s="61"/>
      <c r="Z140" s="61"/>
      <c r="AA140" s="61"/>
      <c r="AB140" s="61"/>
      <c r="AC140" s="61"/>
      <c r="AD140" s="61"/>
      <c r="AE140" s="61">
        <f t="shared" si="14"/>
        <v>0</v>
      </c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49">
        <f t="shared" si="15"/>
        <v>0</v>
      </c>
    </row>
    <row r="141" spans="1:57" ht="15" hidden="1" customHeight="1" x14ac:dyDescent="0.2">
      <c r="A141" s="36">
        <v>130</v>
      </c>
      <c r="B141" s="59"/>
      <c r="C141" s="38"/>
      <c r="D141" s="38" t="e">
        <f>VLOOKUP(C141,Planilha1!$J$2:$L$206,3,)</f>
        <v>#N/A</v>
      </c>
      <c r="E141" s="39"/>
      <c r="F141" s="40"/>
      <c r="G141" s="49"/>
      <c r="H141" s="60">
        <f t="shared" si="9"/>
        <v>0</v>
      </c>
      <c r="I141" s="49">
        <f t="shared" si="10"/>
        <v>0</v>
      </c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49">
        <f t="shared" si="11"/>
        <v>0</v>
      </c>
      <c r="V141" s="29">
        <f t="shared" si="12"/>
        <v>0</v>
      </c>
      <c r="W141" s="29">
        <f t="shared" si="13"/>
        <v>0</v>
      </c>
      <c r="X141" s="61">
        <f t="shared" si="16"/>
        <v>0</v>
      </c>
      <c r="Y141" s="61"/>
      <c r="Z141" s="61"/>
      <c r="AA141" s="61"/>
      <c r="AB141" s="61"/>
      <c r="AC141" s="61"/>
      <c r="AD141" s="61"/>
      <c r="AE141" s="49">
        <f t="shared" si="14"/>
        <v>0</v>
      </c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49">
        <f t="shared" si="15"/>
        <v>0</v>
      </c>
    </row>
    <row r="142" spans="1:57" ht="15" hidden="1" customHeight="1" x14ac:dyDescent="0.2">
      <c r="A142" s="36">
        <v>131</v>
      </c>
      <c r="B142" s="59"/>
      <c r="C142" s="38"/>
      <c r="D142" s="38" t="e">
        <f>VLOOKUP(C142,Planilha1!$J$2:$L$206,3,)</f>
        <v>#N/A</v>
      </c>
      <c r="E142" s="39"/>
      <c r="F142" s="40"/>
      <c r="G142" s="49"/>
      <c r="H142" s="60">
        <f t="shared" ref="H142:H194" si="17">I142+U142</f>
        <v>0</v>
      </c>
      <c r="I142" s="49">
        <f t="shared" ref="I142:I194" si="18">SUM(J142:T142)</f>
        <v>0</v>
      </c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49">
        <f t="shared" ref="U142:U194" si="19">X142+AE142</f>
        <v>0</v>
      </c>
      <c r="V142" s="29">
        <f t="shared" ref="V142:V194" si="20">IF(H142,U142/H142,0)</f>
        <v>0</v>
      </c>
      <c r="W142" s="29">
        <f t="shared" ref="W142:W194" si="21">IF(H142,I142/H142,0)</f>
        <v>0</v>
      </c>
      <c r="X142" s="61">
        <f t="shared" si="16"/>
        <v>0</v>
      </c>
      <c r="Y142" s="61"/>
      <c r="Z142" s="61"/>
      <c r="AA142" s="61"/>
      <c r="AB142" s="61"/>
      <c r="AC142" s="61"/>
      <c r="AD142" s="61"/>
      <c r="AE142" s="61">
        <f t="shared" ref="AE142:AE194" si="22">SUM(AF142:BD142)</f>
        <v>0</v>
      </c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49">
        <f t="shared" ref="BE142:BE194" si="23">I142+AE142</f>
        <v>0</v>
      </c>
    </row>
    <row r="143" spans="1:57" ht="15" hidden="1" customHeight="1" x14ac:dyDescent="0.2">
      <c r="A143" s="36">
        <v>132</v>
      </c>
      <c r="B143" s="59"/>
      <c r="C143" s="38"/>
      <c r="D143" s="38" t="e">
        <f>VLOOKUP(C143,Planilha1!$J$2:$L$206,3,)</f>
        <v>#N/A</v>
      </c>
      <c r="E143" s="39"/>
      <c r="F143" s="40"/>
      <c r="G143" s="49"/>
      <c r="H143" s="60">
        <f t="shared" si="17"/>
        <v>0</v>
      </c>
      <c r="I143" s="49">
        <f t="shared" si="18"/>
        <v>0</v>
      </c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49">
        <f t="shared" si="19"/>
        <v>0</v>
      </c>
      <c r="V143" s="29">
        <f t="shared" si="20"/>
        <v>0</v>
      </c>
      <c r="W143" s="29">
        <f t="shared" si="21"/>
        <v>0</v>
      </c>
      <c r="X143" s="61">
        <f t="shared" ref="X143:X194" si="24">SUM(Y143:AD143)</f>
        <v>0</v>
      </c>
      <c r="Y143" s="61"/>
      <c r="Z143" s="61"/>
      <c r="AA143" s="61"/>
      <c r="AB143" s="61"/>
      <c r="AC143" s="61"/>
      <c r="AD143" s="61"/>
      <c r="AE143" s="49">
        <f t="shared" si="22"/>
        <v>0</v>
      </c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49">
        <f t="shared" si="23"/>
        <v>0</v>
      </c>
    </row>
    <row r="144" spans="1:57" ht="15" hidden="1" customHeight="1" x14ac:dyDescent="0.2">
      <c r="A144" s="36">
        <v>133</v>
      </c>
      <c r="B144" s="59"/>
      <c r="C144" s="38"/>
      <c r="D144" s="38" t="e">
        <f>VLOOKUP(C144,Planilha1!$J$2:$L$206,3,)</f>
        <v>#N/A</v>
      </c>
      <c r="E144" s="39"/>
      <c r="F144" s="40"/>
      <c r="G144" s="49"/>
      <c r="H144" s="60">
        <f t="shared" si="17"/>
        <v>0</v>
      </c>
      <c r="I144" s="49">
        <f t="shared" si="18"/>
        <v>0</v>
      </c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49">
        <f t="shared" si="19"/>
        <v>0</v>
      </c>
      <c r="V144" s="29">
        <f t="shared" si="20"/>
        <v>0</v>
      </c>
      <c r="W144" s="29">
        <f t="shared" si="21"/>
        <v>0</v>
      </c>
      <c r="X144" s="61">
        <f t="shared" si="24"/>
        <v>0</v>
      </c>
      <c r="Y144" s="61"/>
      <c r="Z144" s="61"/>
      <c r="AA144" s="61"/>
      <c r="AB144" s="61"/>
      <c r="AC144" s="61"/>
      <c r="AD144" s="61"/>
      <c r="AE144" s="61">
        <f t="shared" si="22"/>
        <v>0</v>
      </c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49">
        <f t="shared" si="23"/>
        <v>0</v>
      </c>
    </row>
    <row r="145" spans="1:57" ht="15" hidden="1" customHeight="1" x14ac:dyDescent="0.2">
      <c r="A145" s="36">
        <v>134</v>
      </c>
      <c r="B145" s="59"/>
      <c r="C145" s="38"/>
      <c r="D145" s="38" t="e">
        <f>VLOOKUP(C145,Planilha1!$J$2:$L$206,3,)</f>
        <v>#N/A</v>
      </c>
      <c r="E145" s="39"/>
      <c r="F145" s="40"/>
      <c r="G145" s="49"/>
      <c r="H145" s="60">
        <f t="shared" si="17"/>
        <v>0</v>
      </c>
      <c r="I145" s="49">
        <f t="shared" si="18"/>
        <v>0</v>
      </c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49">
        <f t="shared" si="19"/>
        <v>0</v>
      </c>
      <c r="V145" s="29">
        <f t="shared" si="20"/>
        <v>0</v>
      </c>
      <c r="W145" s="29">
        <f t="shared" si="21"/>
        <v>0</v>
      </c>
      <c r="X145" s="61">
        <f t="shared" si="24"/>
        <v>0</v>
      </c>
      <c r="Y145" s="61"/>
      <c r="Z145" s="61"/>
      <c r="AA145" s="61"/>
      <c r="AB145" s="61"/>
      <c r="AC145" s="61"/>
      <c r="AD145" s="61"/>
      <c r="AE145" s="49">
        <f t="shared" si="22"/>
        <v>0</v>
      </c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49">
        <f t="shared" si="23"/>
        <v>0</v>
      </c>
    </row>
    <row r="146" spans="1:57" ht="15" hidden="1" customHeight="1" x14ac:dyDescent="0.2">
      <c r="A146" s="36">
        <v>135</v>
      </c>
      <c r="B146" s="59"/>
      <c r="C146" s="38"/>
      <c r="D146" s="38" t="e">
        <f>VLOOKUP(C146,Planilha1!$J$2:$L$206,3,)</f>
        <v>#N/A</v>
      </c>
      <c r="E146" s="39"/>
      <c r="F146" s="40"/>
      <c r="G146" s="49"/>
      <c r="H146" s="60">
        <f t="shared" si="17"/>
        <v>0</v>
      </c>
      <c r="I146" s="49">
        <f t="shared" si="18"/>
        <v>0</v>
      </c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49">
        <f t="shared" si="19"/>
        <v>0</v>
      </c>
      <c r="V146" s="29">
        <f t="shared" si="20"/>
        <v>0</v>
      </c>
      <c r="W146" s="29">
        <f t="shared" si="21"/>
        <v>0</v>
      </c>
      <c r="X146" s="61">
        <f t="shared" si="24"/>
        <v>0</v>
      </c>
      <c r="Y146" s="61"/>
      <c r="Z146" s="61"/>
      <c r="AA146" s="61"/>
      <c r="AB146" s="61"/>
      <c r="AC146" s="61"/>
      <c r="AD146" s="61"/>
      <c r="AE146" s="61">
        <f t="shared" si="22"/>
        <v>0</v>
      </c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49">
        <f t="shared" si="23"/>
        <v>0</v>
      </c>
    </row>
    <row r="147" spans="1:57" ht="15" hidden="1" customHeight="1" x14ac:dyDescent="0.2">
      <c r="A147" s="36">
        <v>136</v>
      </c>
      <c r="B147" s="59"/>
      <c r="C147" s="38"/>
      <c r="D147" s="38" t="e">
        <f>VLOOKUP(C147,Planilha1!$J$2:$L$206,3,)</f>
        <v>#N/A</v>
      </c>
      <c r="E147" s="39"/>
      <c r="F147" s="40"/>
      <c r="G147" s="49"/>
      <c r="H147" s="60">
        <f t="shared" si="17"/>
        <v>0</v>
      </c>
      <c r="I147" s="49">
        <f t="shared" si="18"/>
        <v>0</v>
      </c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49">
        <f t="shared" si="19"/>
        <v>0</v>
      </c>
      <c r="V147" s="29">
        <f t="shared" si="20"/>
        <v>0</v>
      </c>
      <c r="W147" s="29">
        <f t="shared" si="21"/>
        <v>0</v>
      </c>
      <c r="X147" s="61">
        <f t="shared" si="24"/>
        <v>0</v>
      </c>
      <c r="Y147" s="61"/>
      <c r="Z147" s="61"/>
      <c r="AA147" s="61"/>
      <c r="AB147" s="61"/>
      <c r="AC147" s="61"/>
      <c r="AD147" s="61"/>
      <c r="AE147" s="49">
        <f t="shared" si="22"/>
        <v>0</v>
      </c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49">
        <f t="shared" si="23"/>
        <v>0</v>
      </c>
    </row>
    <row r="148" spans="1:57" ht="15" hidden="1" customHeight="1" x14ac:dyDescent="0.2">
      <c r="A148" s="36">
        <v>137</v>
      </c>
      <c r="B148" s="59"/>
      <c r="C148" s="38"/>
      <c r="D148" s="38" t="e">
        <f>VLOOKUP(C148,Planilha1!$J$2:$L$206,3,)</f>
        <v>#N/A</v>
      </c>
      <c r="E148" s="39"/>
      <c r="F148" s="40"/>
      <c r="G148" s="49"/>
      <c r="H148" s="60">
        <f t="shared" si="17"/>
        <v>0</v>
      </c>
      <c r="I148" s="49">
        <f t="shared" si="18"/>
        <v>0</v>
      </c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49">
        <f t="shared" si="19"/>
        <v>0</v>
      </c>
      <c r="V148" s="29">
        <f t="shared" si="20"/>
        <v>0</v>
      </c>
      <c r="W148" s="29">
        <f t="shared" si="21"/>
        <v>0</v>
      </c>
      <c r="X148" s="61">
        <f t="shared" si="24"/>
        <v>0</v>
      </c>
      <c r="Y148" s="61"/>
      <c r="Z148" s="61"/>
      <c r="AA148" s="61"/>
      <c r="AB148" s="61"/>
      <c r="AC148" s="61"/>
      <c r="AD148" s="61"/>
      <c r="AE148" s="61">
        <f t="shared" si="22"/>
        <v>0</v>
      </c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49">
        <f t="shared" si="23"/>
        <v>0</v>
      </c>
    </row>
    <row r="149" spans="1:57" ht="15" hidden="1" customHeight="1" x14ac:dyDescent="0.2">
      <c r="A149" s="36">
        <v>138</v>
      </c>
      <c r="B149" s="59"/>
      <c r="C149" s="38"/>
      <c r="D149" s="38" t="e">
        <f>VLOOKUP(C149,Planilha1!$J$2:$L$206,3,)</f>
        <v>#N/A</v>
      </c>
      <c r="E149" s="39"/>
      <c r="F149" s="40"/>
      <c r="G149" s="49"/>
      <c r="H149" s="60">
        <f t="shared" si="17"/>
        <v>0</v>
      </c>
      <c r="I149" s="49">
        <f t="shared" si="18"/>
        <v>0</v>
      </c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49">
        <f t="shared" si="19"/>
        <v>0</v>
      </c>
      <c r="V149" s="29">
        <f t="shared" si="20"/>
        <v>0</v>
      </c>
      <c r="W149" s="29">
        <f t="shared" si="21"/>
        <v>0</v>
      </c>
      <c r="X149" s="61">
        <f t="shared" si="24"/>
        <v>0</v>
      </c>
      <c r="Y149" s="61"/>
      <c r="Z149" s="61"/>
      <c r="AA149" s="61"/>
      <c r="AB149" s="61"/>
      <c r="AC149" s="61"/>
      <c r="AD149" s="61"/>
      <c r="AE149" s="49">
        <f t="shared" si="22"/>
        <v>0</v>
      </c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49">
        <f t="shared" si="23"/>
        <v>0</v>
      </c>
    </row>
    <row r="150" spans="1:57" ht="15" hidden="1" customHeight="1" x14ac:dyDescent="0.2">
      <c r="A150" s="36">
        <v>139</v>
      </c>
      <c r="B150" s="59"/>
      <c r="C150" s="38"/>
      <c r="D150" s="38" t="e">
        <f>VLOOKUP(C150,Planilha1!$J$2:$L$206,3,)</f>
        <v>#N/A</v>
      </c>
      <c r="E150" s="39"/>
      <c r="F150" s="40"/>
      <c r="G150" s="49"/>
      <c r="H150" s="60">
        <f t="shared" si="17"/>
        <v>0</v>
      </c>
      <c r="I150" s="49">
        <f t="shared" si="18"/>
        <v>0</v>
      </c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49">
        <f t="shared" si="19"/>
        <v>0</v>
      </c>
      <c r="V150" s="29">
        <f t="shared" si="20"/>
        <v>0</v>
      </c>
      <c r="W150" s="29">
        <f t="shared" si="21"/>
        <v>0</v>
      </c>
      <c r="X150" s="61">
        <f t="shared" si="24"/>
        <v>0</v>
      </c>
      <c r="Y150" s="61"/>
      <c r="Z150" s="61"/>
      <c r="AA150" s="61"/>
      <c r="AB150" s="61"/>
      <c r="AC150" s="61"/>
      <c r="AD150" s="61"/>
      <c r="AE150" s="61">
        <f t="shared" si="22"/>
        <v>0</v>
      </c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49">
        <f t="shared" si="23"/>
        <v>0</v>
      </c>
    </row>
    <row r="151" spans="1:57" ht="15" hidden="1" customHeight="1" x14ac:dyDescent="0.2">
      <c r="A151" s="36">
        <v>140</v>
      </c>
      <c r="B151" s="59"/>
      <c r="C151" s="38"/>
      <c r="D151" s="38" t="e">
        <f>VLOOKUP(C151,Planilha1!$J$2:$L$206,3,)</f>
        <v>#N/A</v>
      </c>
      <c r="E151" s="39"/>
      <c r="F151" s="40"/>
      <c r="G151" s="49"/>
      <c r="H151" s="60">
        <f t="shared" si="17"/>
        <v>0</v>
      </c>
      <c r="I151" s="49">
        <f t="shared" si="18"/>
        <v>0</v>
      </c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49">
        <f t="shared" si="19"/>
        <v>0</v>
      </c>
      <c r="V151" s="29">
        <f t="shared" si="20"/>
        <v>0</v>
      </c>
      <c r="W151" s="29">
        <f t="shared" si="21"/>
        <v>0</v>
      </c>
      <c r="X151" s="61">
        <f t="shared" si="24"/>
        <v>0</v>
      </c>
      <c r="Y151" s="61"/>
      <c r="Z151" s="61"/>
      <c r="AA151" s="61"/>
      <c r="AB151" s="61"/>
      <c r="AC151" s="61"/>
      <c r="AD151" s="61"/>
      <c r="AE151" s="49">
        <f t="shared" si="22"/>
        <v>0</v>
      </c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49">
        <f t="shared" si="23"/>
        <v>0</v>
      </c>
    </row>
    <row r="152" spans="1:57" ht="15" hidden="1" customHeight="1" x14ac:dyDescent="0.2">
      <c r="A152" s="36">
        <v>141</v>
      </c>
      <c r="B152" s="59"/>
      <c r="C152" s="38"/>
      <c r="D152" s="38" t="e">
        <f>VLOOKUP(C152,Planilha1!$J$2:$L$206,3,)</f>
        <v>#N/A</v>
      </c>
      <c r="E152" s="39"/>
      <c r="F152" s="40"/>
      <c r="G152" s="49"/>
      <c r="H152" s="60">
        <f t="shared" si="17"/>
        <v>0</v>
      </c>
      <c r="I152" s="49">
        <f t="shared" si="18"/>
        <v>0</v>
      </c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49">
        <f t="shared" si="19"/>
        <v>0</v>
      </c>
      <c r="V152" s="29">
        <f t="shared" si="20"/>
        <v>0</v>
      </c>
      <c r="W152" s="29">
        <f t="shared" si="21"/>
        <v>0</v>
      </c>
      <c r="X152" s="61">
        <f t="shared" si="24"/>
        <v>0</v>
      </c>
      <c r="Y152" s="61"/>
      <c r="Z152" s="61"/>
      <c r="AA152" s="61"/>
      <c r="AB152" s="61"/>
      <c r="AC152" s="61"/>
      <c r="AD152" s="61"/>
      <c r="AE152" s="61">
        <f t="shared" si="22"/>
        <v>0</v>
      </c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49">
        <f t="shared" si="23"/>
        <v>0</v>
      </c>
    </row>
    <row r="153" spans="1:57" ht="15" hidden="1" customHeight="1" x14ac:dyDescent="0.2">
      <c r="A153" s="36">
        <v>142</v>
      </c>
      <c r="B153" s="59"/>
      <c r="C153" s="38"/>
      <c r="D153" s="38" t="e">
        <f>VLOOKUP(C153,Planilha1!$J$2:$L$206,3,)</f>
        <v>#N/A</v>
      </c>
      <c r="E153" s="39"/>
      <c r="F153" s="40"/>
      <c r="G153" s="49"/>
      <c r="H153" s="60">
        <f t="shared" si="17"/>
        <v>0</v>
      </c>
      <c r="I153" s="49">
        <f t="shared" si="18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49">
        <f t="shared" si="19"/>
        <v>0</v>
      </c>
      <c r="V153" s="29">
        <f t="shared" si="20"/>
        <v>0</v>
      </c>
      <c r="W153" s="29">
        <f t="shared" si="21"/>
        <v>0</v>
      </c>
      <c r="X153" s="61">
        <f t="shared" si="24"/>
        <v>0</v>
      </c>
      <c r="Y153" s="61"/>
      <c r="Z153" s="61"/>
      <c r="AA153" s="61"/>
      <c r="AB153" s="61"/>
      <c r="AC153" s="61"/>
      <c r="AD153" s="61"/>
      <c r="AE153" s="49">
        <f t="shared" si="22"/>
        <v>0</v>
      </c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49">
        <f t="shared" si="23"/>
        <v>0</v>
      </c>
    </row>
    <row r="154" spans="1:57" ht="15" hidden="1" customHeight="1" x14ac:dyDescent="0.2">
      <c r="A154" s="36">
        <v>143</v>
      </c>
      <c r="B154" s="59"/>
      <c r="C154" s="38"/>
      <c r="D154" s="38" t="e">
        <f>VLOOKUP(C154,Planilha1!$J$2:$L$206,3,)</f>
        <v>#N/A</v>
      </c>
      <c r="E154" s="39"/>
      <c r="F154" s="40"/>
      <c r="G154" s="49"/>
      <c r="H154" s="60">
        <f t="shared" si="17"/>
        <v>0</v>
      </c>
      <c r="I154" s="49">
        <f t="shared" si="18"/>
        <v>0</v>
      </c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49">
        <f t="shared" si="19"/>
        <v>0</v>
      </c>
      <c r="V154" s="29">
        <f t="shared" si="20"/>
        <v>0</v>
      </c>
      <c r="W154" s="29">
        <f t="shared" si="21"/>
        <v>0</v>
      </c>
      <c r="X154" s="61">
        <f t="shared" si="24"/>
        <v>0</v>
      </c>
      <c r="Y154" s="61"/>
      <c r="Z154" s="61"/>
      <c r="AA154" s="61"/>
      <c r="AB154" s="61"/>
      <c r="AC154" s="61"/>
      <c r="AD154" s="61"/>
      <c r="AE154" s="61">
        <f t="shared" si="22"/>
        <v>0</v>
      </c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49">
        <f t="shared" si="23"/>
        <v>0</v>
      </c>
    </row>
    <row r="155" spans="1:57" ht="15" hidden="1" customHeight="1" x14ac:dyDescent="0.2">
      <c r="A155" s="36">
        <v>144</v>
      </c>
      <c r="B155" s="59"/>
      <c r="C155" s="38"/>
      <c r="D155" s="38" t="e">
        <f>VLOOKUP(C155,Planilha1!$J$2:$L$206,3,)</f>
        <v>#N/A</v>
      </c>
      <c r="E155" s="39"/>
      <c r="F155" s="40"/>
      <c r="G155" s="49"/>
      <c r="H155" s="60">
        <f t="shared" si="17"/>
        <v>0</v>
      </c>
      <c r="I155" s="49">
        <f t="shared" si="18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49">
        <f t="shared" si="19"/>
        <v>0</v>
      </c>
      <c r="V155" s="29">
        <f t="shared" si="20"/>
        <v>0</v>
      </c>
      <c r="W155" s="29">
        <f t="shared" si="21"/>
        <v>0</v>
      </c>
      <c r="X155" s="61">
        <f t="shared" si="24"/>
        <v>0</v>
      </c>
      <c r="Y155" s="61"/>
      <c r="Z155" s="61"/>
      <c r="AA155" s="61"/>
      <c r="AB155" s="61"/>
      <c r="AC155" s="61"/>
      <c r="AD155" s="61"/>
      <c r="AE155" s="49">
        <f t="shared" si="22"/>
        <v>0</v>
      </c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49">
        <f t="shared" si="23"/>
        <v>0</v>
      </c>
    </row>
    <row r="156" spans="1:57" ht="15" hidden="1" customHeight="1" x14ac:dyDescent="0.2">
      <c r="A156" s="36">
        <v>145</v>
      </c>
      <c r="B156" s="59"/>
      <c r="C156" s="38"/>
      <c r="D156" s="38" t="e">
        <f>VLOOKUP(C156,Planilha1!$J$2:$L$206,3,)</f>
        <v>#N/A</v>
      </c>
      <c r="E156" s="39"/>
      <c r="F156" s="40"/>
      <c r="G156" s="49"/>
      <c r="H156" s="60">
        <f t="shared" si="17"/>
        <v>0</v>
      </c>
      <c r="I156" s="49">
        <f t="shared" si="18"/>
        <v>0</v>
      </c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49">
        <f t="shared" si="19"/>
        <v>0</v>
      </c>
      <c r="V156" s="29">
        <f t="shared" si="20"/>
        <v>0</v>
      </c>
      <c r="W156" s="29">
        <f t="shared" si="21"/>
        <v>0</v>
      </c>
      <c r="X156" s="61">
        <f t="shared" si="24"/>
        <v>0</v>
      </c>
      <c r="Y156" s="61"/>
      <c r="Z156" s="61"/>
      <c r="AA156" s="61"/>
      <c r="AB156" s="61"/>
      <c r="AC156" s="61"/>
      <c r="AD156" s="61"/>
      <c r="AE156" s="61">
        <f t="shared" si="22"/>
        <v>0</v>
      </c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49">
        <f t="shared" si="23"/>
        <v>0</v>
      </c>
    </row>
    <row r="157" spans="1:57" ht="15" hidden="1" customHeight="1" x14ac:dyDescent="0.2">
      <c r="A157" s="36">
        <v>146</v>
      </c>
      <c r="B157" s="59"/>
      <c r="C157" s="38"/>
      <c r="D157" s="38" t="e">
        <f>VLOOKUP(C157,Planilha1!$J$2:$L$206,3,)</f>
        <v>#N/A</v>
      </c>
      <c r="E157" s="39"/>
      <c r="F157" s="40"/>
      <c r="G157" s="49"/>
      <c r="H157" s="60">
        <f t="shared" si="17"/>
        <v>0</v>
      </c>
      <c r="I157" s="49">
        <f t="shared" si="18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49">
        <f t="shared" si="19"/>
        <v>0</v>
      </c>
      <c r="V157" s="29">
        <f t="shared" si="20"/>
        <v>0</v>
      </c>
      <c r="W157" s="29">
        <f t="shared" si="21"/>
        <v>0</v>
      </c>
      <c r="X157" s="61">
        <f t="shared" si="24"/>
        <v>0</v>
      </c>
      <c r="Y157" s="61"/>
      <c r="Z157" s="61"/>
      <c r="AA157" s="61"/>
      <c r="AB157" s="61"/>
      <c r="AC157" s="61"/>
      <c r="AD157" s="61"/>
      <c r="AE157" s="49">
        <f t="shared" si="22"/>
        <v>0</v>
      </c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49">
        <f t="shared" si="23"/>
        <v>0</v>
      </c>
    </row>
    <row r="158" spans="1:57" ht="15" hidden="1" customHeight="1" x14ac:dyDescent="0.2">
      <c r="A158" s="36">
        <v>147</v>
      </c>
      <c r="B158" s="59"/>
      <c r="C158" s="38"/>
      <c r="D158" s="38" t="e">
        <f>VLOOKUP(C158,Planilha1!$J$2:$L$206,3,)</f>
        <v>#N/A</v>
      </c>
      <c r="E158" s="39"/>
      <c r="F158" s="40"/>
      <c r="G158" s="49"/>
      <c r="H158" s="60">
        <f t="shared" si="17"/>
        <v>0</v>
      </c>
      <c r="I158" s="49">
        <f t="shared" si="18"/>
        <v>0</v>
      </c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49">
        <f t="shared" si="19"/>
        <v>0</v>
      </c>
      <c r="V158" s="29">
        <f t="shared" si="20"/>
        <v>0</v>
      </c>
      <c r="W158" s="29">
        <f t="shared" si="21"/>
        <v>0</v>
      </c>
      <c r="X158" s="61">
        <f t="shared" si="24"/>
        <v>0</v>
      </c>
      <c r="Y158" s="61"/>
      <c r="Z158" s="61"/>
      <c r="AA158" s="61"/>
      <c r="AB158" s="61"/>
      <c r="AC158" s="61"/>
      <c r="AD158" s="61"/>
      <c r="AE158" s="61">
        <f t="shared" si="22"/>
        <v>0</v>
      </c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49">
        <f t="shared" si="23"/>
        <v>0</v>
      </c>
    </row>
    <row r="159" spans="1:57" ht="15" hidden="1" customHeight="1" x14ac:dyDescent="0.2">
      <c r="A159" s="36">
        <v>148</v>
      </c>
      <c r="B159" s="59"/>
      <c r="C159" s="38"/>
      <c r="D159" s="38" t="e">
        <f>VLOOKUP(C159,Planilha1!$J$2:$L$206,3,)</f>
        <v>#N/A</v>
      </c>
      <c r="E159" s="39"/>
      <c r="F159" s="40"/>
      <c r="G159" s="49"/>
      <c r="H159" s="60">
        <f t="shared" si="17"/>
        <v>0</v>
      </c>
      <c r="I159" s="49">
        <f t="shared" si="18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49">
        <f t="shared" si="19"/>
        <v>0</v>
      </c>
      <c r="V159" s="29">
        <f t="shared" si="20"/>
        <v>0</v>
      </c>
      <c r="W159" s="29">
        <f t="shared" si="21"/>
        <v>0</v>
      </c>
      <c r="X159" s="61">
        <f t="shared" si="24"/>
        <v>0</v>
      </c>
      <c r="Y159" s="61"/>
      <c r="Z159" s="61"/>
      <c r="AA159" s="61"/>
      <c r="AB159" s="61"/>
      <c r="AC159" s="61"/>
      <c r="AD159" s="61"/>
      <c r="AE159" s="49">
        <f t="shared" si="22"/>
        <v>0</v>
      </c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49">
        <f t="shared" si="23"/>
        <v>0</v>
      </c>
    </row>
    <row r="160" spans="1:57" ht="15" hidden="1" customHeight="1" x14ac:dyDescent="0.2">
      <c r="A160" s="36">
        <v>149</v>
      </c>
      <c r="B160" s="59"/>
      <c r="C160" s="38"/>
      <c r="D160" s="38" t="e">
        <f>VLOOKUP(C160,Planilha1!$J$2:$L$206,3,)</f>
        <v>#N/A</v>
      </c>
      <c r="E160" s="39"/>
      <c r="F160" s="40"/>
      <c r="G160" s="49"/>
      <c r="H160" s="60">
        <f t="shared" si="17"/>
        <v>0</v>
      </c>
      <c r="I160" s="49">
        <f t="shared" si="18"/>
        <v>0</v>
      </c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49">
        <f t="shared" si="19"/>
        <v>0</v>
      </c>
      <c r="V160" s="29">
        <f t="shared" si="20"/>
        <v>0</v>
      </c>
      <c r="W160" s="29">
        <f t="shared" si="21"/>
        <v>0</v>
      </c>
      <c r="X160" s="61">
        <f t="shared" si="24"/>
        <v>0</v>
      </c>
      <c r="Y160" s="61"/>
      <c r="Z160" s="61"/>
      <c r="AA160" s="61"/>
      <c r="AB160" s="61"/>
      <c r="AC160" s="61"/>
      <c r="AD160" s="61"/>
      <c r="AE160" s="61">
        <f t="shared" si="22"/>
        <v>0</v>
      </c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49">
        <f t="shared" si="23"/>
        <v>0</v>
      </c>
    </row>
    <row r="161" spans="1:57" ht="15" hidden="1" customHeight="1" x14ac:dyDescent="0.2">
      <c r="A161" s="36">
        <v>150</v>
      </c>
      <c r="B161" s="59"/>
      <c r="C161" s="38"/>
      <c r="D161" s="38" t="e">
        <f>VLOOKUP(C161,Planilha1!$J$2:$L$206,3,)</f>
        <v>#N/A</v>
      </c>
      <c r="E161" s="39"/>
      <c r="F161" s="40"/>
      <c r="G161" s="49"/>
      <c r="H161" s="60">
        <f t="shared" si="17"/>
        <v>0</v>
      </c>
      <c r="I161" s="49">
        <f t="shared" si="18"/>
        <v>0</v>
      </c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49">
        <f t="shared" si="19"/>
        <v>0</v>
      </c>
      <c r="V161" s="29">
        <f t="shared" si="20"/>
        <v>0</v>
      </c>
      <c r="W161" s="29">
        <f t="shared" si="21"/>
        <v>0</v>
      </c>
      <c r="X161" s="61">
        <f t="shared" si="24"/>
        <v>0</v>
      </c>
      <c r="Y161" s="61"/>
      <c r="Z161" s="61"/>
      <c r="AA161" s="61"/>
      <c r="AB161" s="61"/>
      <c r="AC161" s="61"/>
      <c r="AD161" s="61"/>
      <c r="AE161" s="49">
        <f t="shared" si="22"/>
        <v>0</v>
      </c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49">
        <f t="shared" si="23"/>
        <v>0</v>
      </c>
    </row>
    <row r="162" spans="1:57" ht="15" hidden="1" customHeight="1" x14ac:dyDescent="0.2">
      <c r="A162" s="36">
        <v>151</v>
      </c>
      <c r="B162" s="59"/>
      <c r="C162" s="38"/>
      <c r="D162" s="38" t="e">
        <f>VLOOKUP(C162,Planilha1!$J$2:$L$206,3,)</f>
        <v>#N/A</v>
      </c>
      <c r="E162" s="39"/>
      <c r="F162" s="40"/>
      <c r="G162" s="49"/>
      <c r="H162" s="60">
        <f t="shared" si="17"/>
        <v>0</v>
      </c>
      <c r="I162" s="49">
        <f t="shared" si="18"/>
        <v>0</v>
      </c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49">
        <f t="shared" si="19"/>
        <v>0</v>
      </c>
      <c r="V162" s="29">
        <f t="shared" si="20"/>
        <v>0</v>
      </c>
      <c r="W162" s="29">
        <f t="shared" si="21"/>
        <v>0</v>
      </c>
      <c r="X162" s="61">
        <f t="shared" si="24"/>
        <v>0</v>
      </c>
      <c r="Y162" s="61"/>
      <c r="Z162" s="61"/>
      <c r="AA162" s="61"/>
      <c r="AB162" s="61"/>
      <c r="AC162" s="61"/>
      <c r="AD162" s="61"/>
      <c r="AE162" s="61">
        <f t="shared" si="22"/>
        <v>0</v>
      </c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49">
        <f t="shared" si="23"/>
        <v>0</v>
      </c>
    </row>
    <row r="163" spans="1:57" ht="15" hidden="1" customHeight="1" x14ac:dyDescent="0.2">
      <c r="A163" s="36">
        <v>152</v>
      </c>
      <c r="B163" s="59"/>
      <c r="C163" s="38"/>
      <c r="D163" s="38" t="e">
        <f>VLOOKUP(C163,Planilha1!$J$2:$L$206,3,)</f>
        <v>#N/A</v>
      </c>
      <c r="E163" s="39"/>
      <c r="F163" s="40"/>
      <c r="G163" s="49"/>
      <c r="H163" s="60">
        <f t="shared" si="17"/>
        <v>0</v>
      </c>
      <c r="I163" s="49">
        <f t="shared" si="18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49">
        <f t="shared" si="19"/>
        <v>0</v>
      </c>
      <c r="V163" s="29">
        <f t="shared" si="20"/>
        <v>0</v>
      </c>
      <c r="W163" s="29">
        <f t="shared" si="21"/>
        <v>0</v>
      </c>
      <c r="X163" s="61">
        <f t="shared" si="24"/>
        <v>0</v>
      </c>
      <c r="Y163" s="61"/>
      <c r="Z163" s="61"/>
      <c r="AA163" s="61"/>
      <c r="AB163" s="61"/>
      <c r="AC163" s="61"/>
      <c r="AD163" s="61"/>
      <c r="AE163" s="49">
        <f t="shared" si="22"/>
        <v>0</v>
      </c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49">
        <f t="shared" si="23"/>
        <v>0</v>
      </c>
    </row>
    <row r="164" spans="1:57" ht="15" hidden="1" customHeight="1" x14ac:dyDescent="0.2">
      <c r="A164" s="36">
        <v>153</v>
      </c>
      <c r="B164" s="59"/>
      <c r="C164" s="38"/>
      <c r="D164" s="38" t="e">
        <f>VLOOKUP(C164,Planilha1!$J$2:$L$206,3,)</f>
        <v>#N/A</v>
      </c>
      <c r="E164" s="39"/>
      <c r="F164" s="40"/>
      <c r="G164" s="49"/>
      <c r="H164" s="60">
        <f t="shared" si="17"/>
        <v>0</v>
      </c>
      <c r="I164" s="49">
        <f t="shared" si="18"/>
        <v>0</v>
      </c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49">
        <f t="shared" si="19"/>
        <v>0</v>
      </c>
      <c r="V164" s="29">
        <f t="shared" si="20"/>
        <v>0</v>
      </c>
      <c r="W164" s="29">
        <f t="shared" si="21"/>
        <v>0</v>
      </c>
      <c r="X164" s="61">
        <f t="shared" si="24"/>
        <v>0</v>
      </c>
      <c r="Y164" s="61"/>
      <c r="Z164" s="61"/>
      <c r="AA164" s="61"/>
      <c r="AB164" s="61"/>
      <c r="AC164" s="61"/>
      <c r="AD164" s="61"/>
      <c r="AE164" s="61">
        <f t="shared" si="22"/>
        <v>0</v>
      </c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49">
        <f t="shared" si="23"/>
        <v>0</v>
      </c>
    </row>
    <row r="165" spans="1:57" ht="15" hidden="1" customHeight="1" x14ac:dyDescent="0.2">
      <c r="A165" s="36">
        <v>154</v>
      </c>
      <c r="B165" s="59"/>
      <c r="C165" s="38"/>
      <c r="D165" s="38" t="e">
        <f>VLOOKUP(C165,Planilha1!$J$2:$L$206,3,)</f>
        <v>#N/A</v>
      </c>
      <c r="E165" s="39"/>
      <c r="F165" s="40"/>
      <c r="G165" s="49"/>
      <c r="H165" s="60">
        <f t="shared" si="17"/>
        <v>0</v>
      </c>
      <c r="I165" s="49">
        <f t="shared" si="18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49">
        <f t="shared" si="19"/>
        <v>0</v>
      </c>
      <c r="V165" s="29">
        <f t="shared" si="20"/>
        <v>0</v>
      </c>
      <c r="W165" s="29">
        <f t="shared" si="21"/>
        <v>0</v>
      </c>
      <c r="X165" s="61">
        <f t="shared" si="24"/>
        <v>0</v>
      </c>
      <c r="Y165" s="61"/>
      <c r="Z165" s="61"/>
      <c r="AA165" s="61"/>
      <c r="AB165" s="61"/>
      <c r="AC165" s="61"/>
      <c r="AD165" s="61"/>
      <c r="AE165" s="49">
        <f t="shared" si="22"/>
        <v>0</v>
      </c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49">
        <f t="shared" si="23"/>
        <v>0</v>
      </c>
    </row>
    <row r="166" spans="1:57" ht="15" hidden="1" customHeight="1" x14ac:dyDescent="0.2">
      <c r="A166" s="36">
        <v>155</v>
      </c>
      <c r="B166" s="59"/>
      <c r="C166" s="38"/>
      <c r="D166" s="38" t="e">
        <f>VLOOKUP(C166,Planilha1!$J$2:$L$206,3,)</f>
        <v>#N/A</v>
      </c>
      <c r="E166" s="39"/>
      <c r="F166" s="40"/>
      <c r="G166" s="49"/>
      <c r="H166" s="60">
        <f t="shared" si="17"/>
        <v>0</v>
      </c>
      <c r="I166" s="49">
        <f t="shared" si="18"/>
        <v>0</v>
      </c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49">
        <f t="shared" si="19"/>
        <v>0</v>
      </c>
      <c r="V166" s="29">
        <f t="shared" si="20"/>
        <v>0</v>
      </c>
      <c r="W166" s="29">
        <f t="shared" si="21"/>
        <v>0</v>
      </c>
      <c r="X166" s="61">
        <f t="shared" si="24"/>
        <v>0</v>
      </c>
      <c r="Y166" s="61"/>
      <c r="Z166" s="61"/>
      <c r="AA166" s="61"/>
      <c r="AB166" s="61"/>
      <c r="AC166" s="61"/>
      <c r="AD166" s="61"/>
      <c r="AE166" s="61">
        <f t="shared" si="22"/>
        <v>0</v>
      </c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49">
        <f t="shared" si="23"/>
        <v>0</v>
      </c>
    </row>
    <row r="167" spans="1:57" ht="15" hidden="1" customHeight="1" x14ac:dyDescent="0.2">
      <c r="A167" s="36">
        <v>156</v>
      </c>
      <c r="B167" s="59"/>
      <c r="C167" s="38"/>
      <c r="D167" s="38" t="e">
        <f>VLOOKUP(C167,Planilha1!$J$2:$L$206,3,)</f>
        <v>#N/A</v>
      </c>
      <c r="E167" s="39"/>
      <c r="F167" s="40"/>
      <c r="G167" s="49"/>
      <c r="H167" s="60">
        <f t="shared" si="17"/>
        <v>0</v>
      </c>
      <c r="I167" s="49">
        <f t="shared" si="18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49">
        <f t="shared" si="19"/>
        <v>0</v>
      </c>
      <c r="V167" s="29">
        <f t="shared" si="20"/>
        <v>0</v>
      </c>
      <c r="W167" s="29">
        <f t="shared" si="21"/>
        <v>0</v>
      </c>
      <c r="X167" s="61">
        <f t="shared" si="24"/>
        <v>0</v>
      </c>
      <c r="Y167" s="61"/>
      <c r="Z167" s="61"/>
      <c r="AA167" s="61"/>
      <c r="AB167" s="61"/>
      <c r="AC167" s="61"/>
      <c r="AD167" s="61"/>
      <c r="AE167" s="49">
        <f t="shared" si="22"/>
        <v>0</v>
      </c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49">
        <f t="shared" si="23"/>
        <v>0</v>
      </c>
    </row>
    <row r="168" spans="1:57" ht="15" hidden="1" customHeight="1" x14ac:dyDescent="0.2">
      <c r="A168" s="36">
        <v>157</v>
      </c>
      <c r="B168" s="59"/>
      <c r="C168" s="38"/>
      <c r="D168" s="38" t="e">
        <f>VLOOKUP(C168,Planilha1!$J$2:$L$206,3,)</f>
        <v>#N/A</v>
      </c>
      <c r="E168" s="39"/>
      <c r="F168" s="40"/>
      <c r="G168" s="49"/>
      <c r="H168" s="60">
        <f t="shared" si="17"/>
        <v>0</v>
      </c>
      <c r="I168" s="49">
        <f t="shared" si="18"/>
        <v>0</v>
      </c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49">
        <f t="shared" si="19"/>
        <v>0</v>
      </c>
      <c r="V168" s="29">
        <f t="shared" si="20"/>
        <v>0</v>
      </c>
      <c r="W168" s="29">
        <f t="shared" si="21"/>
        <v>0</v>
      </c>
      <c r="X168" s="61">
        <f t="shared" si="24"/>
        <v>0</v>
      </c>
      <c r="Y168" s="61"/>
      <c r="Z168" s="61"/>
      <c r="AA168" s="61"/>
      <c r="AB168" s="61"/>
      <c r="AC168" s="61"/>
      <c r="AD168" s="61"/>
      <c r="AE168" s="61">
        <f t="shared" si="22"/>
        <v>0</v>
      </c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49">
        <f t="shared" si="23"/>
        <v>0</v>
      </c>
    </row>
    <row r="169" spans="1:57" ht="15" hidden="1" customHeight="1" x14ac:dyDescent="0.2">
      <c r="A169" s="36">
        <v>158</v>
      </c>
      <c r="B169" s="59"/>
      <c r="C169" s="38"/>
      <c r="D169" s="38" t="e">
        <f>VLOOKUP(C169,Planilha1!$J$2:$L$206,3,)</f>
        <v>#N/A</v>
      </c>
      <c r="E169" s="39"/>
      <c r="F169" s="40"/>
      <c r="G169" s="49"/>
      <c r="H169" s="60">
        <f t="shared" si="17"/>
        <v>0</v>
      </c>
      <c r="I169" s="49">
        <f t="shared" si="18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49">
        <f t="shared" si="19"/>
        <v>0</v>
      </c>
      <c r="V169" s="29">
        <f t="shared" si="20"/>
        <v>0</v>
      </c>
      <c r="W169" s="29">
        <f t="shared" si="21"/>
        <v>0</v>
      </c>
      <c r="X169" s="61">
        <f t="shared" si="24"/>
        <v>0</v>
      </c>
      <c r="Y169" s="61"/>
      <c r="Z169" s="61"/>
      <c r="AA169" s="61"/>
      <c r="AB169" s="61"/>
      <c r="AC169" s="61"/>
      <c r="AD169" s="61"/>
      <c r="AE169" s="49">
        <f t="shared" si="22"/>
        <v>0</v>
      </c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49">
        <f t="shared" si="23"/>
        <v>0</v>
      </c>
    </row>
    <row r="170" spans="1:57" ht="15" hidden="1" customHeight="1" x14ac:dyDescent="0.2">
      <c r="A170" s="36">
        <v>159</v>
      </c>
      <c r="B170" s="59"/>
      <c r="C170" s="38"/>
      <c r="D170" s="38" t="e">
        <f>VLOOKUP(C170,Planilha1!$J$2:$L$206,3,)</f>
        <v>#N/A</v>
      </c>
      <c r="E170" s="39"/>
      <c r="F170" s="40"/>
      <c r="G170" s="49"/>
      <c r="H170" s="60">
        <f t="shared" si="17"/>
        <v>0</v>
      </c>
      <c r="I170" s="49">
        <f t="shared" si="18"/>
        <v>0</v>
      </c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49">
        <f t="shared" si="19"/>
        <v>0</v>
      </c>
      <c r="V170" s="29">
        <f t="shared" si="20"/>
        <v>0</v>
      </c>
      <c r="W170" s="29">
        <f t="shared" si="21"/>
        <v>0</v>
      </c>
      <c r="X170" s="61">
        <f t="shared" si="24"/>
        <v>0</v>
      </c>
      <c r="Y170" s="61"/>
      <c r="Z170" s="61"/>
      <c r="AA170" s="61"/>
      <c r="AB170" s="61"/>
      <c r="AC170" s="61"/>
      <c r="AD170" s="61"/>
      <c r="AE170" s="61">
        <f t="shared" si="22"/>
        <v>0</v>
      </c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49">
        <f t="shared" si="23"/>
        <v>0</v>
      </c>
    </row>
    <row r="171" spans="1:57" ht="15" hidden="1" customHeight="1" x14ac:dyDescent="0.2">
      <c r="A171" s="36">
        <v>160</v>
      </c>
      <c r="B171" s="59"/>
      <c r="C171" s="38"/>
      <c r="D171" s="38" t="e">
        <f>VLOOKUP(C171,Planilha1!$J$2:$L$206,3,)</f>
        <v>#N/A</v>
      </c>
      <c r="E171" s="39"/>
      <c r="F171" s="40"/>
      <c r="G171" s="49"/>
      <c r="H171" s="60">
        <f t="shared" si="17"/>
        <v>0</v>
      </c>
      <c r="I171" s="49">
        <f t="shared" si="18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49">
        <f t="shared" si="19"/>
        <v>0</v>
      </c>
      <c r="V171" s="29">
        <f t="shared" si="20"/>
        <v>0</v>
      </c>
      <c r="W171" s="29">
        <f t="shared" si="21"/>
        <v>0</v>
      </c>
      <c r="X171" s="61">
        <f t="shared" si="24"/>
        <v>0</v>
      </c>
      <c r="Y171" s="61"/>
      <c r="Z171" s="61"/>
      <c r="AA171" s="61"/>
      <c r="AB171" s="61"/>
      <c r="AC171" s="61"/>
      <c r="AD171" s="61"/>
      <c r="AE171" s="49">
        <f t="shared" si="22"/>
        <v>0</v>
      </c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49">
        <f t="shared" si="23"/>
        <v>0</v>
      </c>
    </row>
    <row r="172" spans="1:57" ht="15" hidden="1" customHeight="1" x14ac:dyDescent="0.2">
      <c r="A172" s="36">
        <v>161</v>
      </c>
      <c r="B172" s="59"/>
      <c r="C172" s="38"/>
      <c r="D172" s="38" t="e">
        <f>VLOOKUP(C172,Planilha1!$J$2:$L$206,3,)</f>
        <v>#N/A</v>
      </c>
      <c r="E172" s="39"/>
      <c r="F172" s="40"/>
      <c r="G172" s="49"/>
      <c r="H172" s="60">
        <f t="shared" si="17"/>
        <v>0</v>
      </c>
      <c r="I172" s="49">
        <f t="shared" si="18"/>
        <v>0</v>
      </c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49">
        <f t="shared" si="19"/>
        <v>0</v>
      </c>
      <c r="V172" s="29">
        <f t="shared" si="20"/>
        <v>0</v>
      </c>
      <c r="W172" s="29">
        <f t="shared" si="21"/>
        <v>0</v>
      </c>
      <c r="X172" s="61">
        <f t="shared" si="24"/>
        <v>0</v>
      </c>
      <c r="Y172" s="61"/>
      <c r="Z172" s="61"/>
      <c r="AA172" s="61"/>
      <c r="AB172" s="61"/>
      <c r="AC172" s="61"/>
      <c r="AD172" s="61"/>
      <c r="AE172" s="61">
        <f t="shared" si="22"/>
        <v>0</v>
      </c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49">
        <f t="shared" si="23"/>
        <v>0</v>
      </c>
    </row>
    <row r="173" spans="1:57" ht="15" hidden="1" customHeight="1" x14ac:dyDescent="0.2">
      <c r="A173" s="36">
        <v>162</v>
      </c>
      <c r="B173" s="59"/>
      <c r="C173" s="38"/>
      <c r="D173" s="38" t="e">
        <f>VLOOKUP(C173,Planilha1!$J$2:$L$206,3,)</f>
        <v>#N/A</v>
      </c>
      <c r="E173" s="39"/>
      <c r="F173" s="40"/>
      <c r="G173" s="49"/>
      <c r="H173" s="60">
        <f t="shared" si="17"/>
        <v>0</v>
      </c>
      <c r="I173" s="49">
        <f t="shared" si="18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49">
        <f t="shared" si="19"/>
        <v>0</v>
      </c>
      <c r="V173" s="29">
        <f t="shared" si="20"/>
        <v>0</v>
      </c>
      <c r="W173" s="29">
        <f t="shared" si="21"/>
        <v>0</v>
      </c>
      <c r="X173" s="61">
        <f t="shared" si="24"/>
        <v>0</v>
      </c>
      <c r="Y173" s="61"/>
      <c r="Z173" s="61"/>
      <c r="AA173" s="61"/>
      <c r="AB173" s="61"/>
      <c r="AC173" s="61"/>
      <c r="AD173" s="61"/>
      <c r="AE173" s="49">
        <f t="shared" si="22"/>
        <v>0</v>
      </c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49">
        <f t="shared" si="23"/>
        <v>0</v>
      </c>
    </row>
    <row r="174" spans="1:57" ht="15" hidden="1" customHeight="1" x14ac:dyDescent="0.2">
      <c r="A174" s="36">
        <v>163</v>
      </c>
      <c r="B174" s="59"/>
      <c r="C174" s="38"/>
      <c r="D174" s="38" t="e">
        <f>VLOOKUP(C174,Planilha1!$J$2:$L$206,3,)</f>
        <v>#N/A</v>
      </c>
      <c r="E174" s="39"/>
      <c r="F174" s="40"/>
      <c r="G174" s="49"/>
      <c r="H174" s="60">
        <f t="shared" si="17"/>
        <v>0</v>
      </c>
      <c r="I174" s="49">
        <f t="shared" si="18"/>
        <v>0</v>
      </c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49">
        <f t="shared" si="19"/>
        <v>0</v>
      </c>
      <c r="V174" s="29">
        <f t="shared" si="20"/>
        <v>0</v>
      </c>
      <c r="W174" s="29">
        <f t="shared" si="21"/>
        <v>0</v>
      </c>
      <c r="X174" s="61">
        <f t="shared" si="24"/>
        <v>0</v>
      </c>
      <c r="Y174" s="61"/>
      <c r="Z174" s="61"/>
      <c r="AA174" s="61"/>
      <c r="AB174" s="61"/>
      <c r="AC174" s="61"/>
      <c r="AD174" s="61"/>
      <c r="AE174" s="61">
        <f t="shared" si="22"/>
        <v>0</v>
      </c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49">
        <f t="shared" si="23"/>
        <v>0</v>
      </c>
    </row>
    <row r="175" spans="1:57" ht="15" hidden="1" customHeight="1" x14ac:dyDescent="0.2">
      <c r="A175" s="36">
        <v>164</v>
      </c>
      <c r="B175" s="59"/>
      <c r="C175" s="38"/>
      <c r="D175" s="38" t="e">
        <f>VLOOKUP(C175,Planilha1!$J$2:$L$206,3,)</f>
        <v>#N/A</v>
      </c>
      <c r="E175" s="39"/>
      <c r="F175" s="40"/>
      <c r="G175" s="49"/>
      <c r="H175" s="60">
        <f t="shared" si="17"/>
        <v>0</v>
      </c>
      <c r="I175" s="49">
        <f t="shared" si="18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49">
        <f t="shared" si="19"/>
        <v>0</v>
      </c>
      <c r="V175" s="29">
        <f t="shared" si="20"/>
        <v>0</v>
      </c>
      <c r="W175" s="29">
        <f t="shared" si="21"/>
        <v>0</v>
      </c>
      <c r="X175" s="61">
        <f t="shared" si="24"/>
        <v>0</v>
      </c>
      <c r="Y175" s="61"/>
      <c r="Z175" s="61"/>
      <c r="AA175" s="61"/>
      <c r="AB175" s="61"/>
      <c r="AC175" s="61"/>
      <c r="AD175" s="61"/>
      <c r="AE175" s="49">
        <f t="shared" si="22"/>
        <v>0</v>
      </c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49">
        <f t="shared" si="23"/>
        <v>0</v>
      </c>
    </row>
    <row r="176" spans="1:57" ht="15" hidden="1" customHeight="1" x14ac:dyDescent="0.2">
      <c r="A176" s="36">
        <v>165</v>
      </c>
      <c r="B176" s="59"/>
      <c r="C176" s="38"/>
      <c r="D176" s="38" t="e">
        <f>VLOOKUP(C176,Planilha1!$J$2:$L$206,3,)</f>
        <v>#N/A</v>
      </c>
      <c r="E176" s="39"/>
      <c r="F176" s="40"/>
      <c r="G176" s="49"/>
      <c r="H176" s="60">
        <f t="shared" si="17"/>
        <v>0</v>
      </c>
      <c r="I176" s="49">
        <f t="shared" si="18"/>
        <v>0</v>
      </c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49">
        <f t="shared" si="19"/>
        <v>0</v>
      </c>
      <c r="V176" s="29">
        <f t="shared" si="20"/>
        <v>0</v>
      </c>
      <c r="W176" s="29">
        <f t="shared" si="21"/>
        <v>0</v>
      </c>
      <c r="X176" s="61">
        <f t="shared" si="24"/>
        <v>0</v>
      </c>
      <c r="Y176" s="61"/>
      <c r="Z176" s="61"/>
      <c r="AA176" s="61"/>
      <c r="AB176" s="61"/>
      <c r="AC176" s="61"/>
      <c r="AD176" s="61"/>
      <c r="AE176" s="61">
        <f t="shared" si="22"/>
        <v>0</v>
      </c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49">
        <f t="shared" si="23"/>
        <v>0</v>
      </c>
    </row>
    <row r="177" spans="1:57" ht="15" hidden="1" customHeight="1" x14ac:dyDescent="0.2">
      <c r="A177" s="36">
        <v>166</v>
      </c>
      <c r="B177" s="59"/>
      <c r="C177" s="38"/>
      <c r="D177" s="38" t="e">
        <f>VLOOKUP(C177,Planilha1!$J$2:$L$206,3,)</f>
        <v>#N/A</v>
      </c>
      <c r="E177" s="39"/>
      <c r="F177" s="40"/>
      <c r="G177" s="49"/>
      <c r="H177" s="60">
        <f t="shared" si="17"/>
        <v>0</v>
      </c>
      <c r="I177" s="49">
        <f t="shared" si="18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49">
        <f t="shared" si="19"/>
        <v>0</v>
      </c>
      <c r="V177" s="29">
        <f t="shared" si="20"/>
        <v>0</v>
      </c>
      <c r="W177" s="29">
        <f t="shared" si="21"/>
        <v>0</v>
      </c>
      <c r="X177" s="61">
        <f t="shared" si="24"/>
        <v>0</v>
      </c>
      <c r="Y177" s="61"/>
      <c r="Z177" s="61"/>
      <c r="AA177" s="61"/>
      <c r="AB177" s="61"/>
      <c r="AC177" s="61"/>
      <c r="AD177" s="61"/>
      <c r="AE177" s="49">
        <f t="shared" si="22"/>
        <v>0</v>
      </c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49">
        <f t="shared" si="23"/>
        <v>0</v>
      </c>
    </row>
    <row r="178" spans="1:57" ht="15" hidden="1" customHeight="1" x14ac:dyDescent="0.2">
      <c r="A178" s="36">
        <v>167</v>
      </c>
      <c r="B178" s="59"/>
      <c r="C178" s="38"/>
      <c r="D178" s="38" t="e">
        <f>VLOOKUP(C178,Planilha1!$J$2:$L$206,3,)</f>
        <v>#N/A</v>
      </c>
      <c r="E178" s="39"/>
      <c r="F178" s="40"/>
      <c r="G178" s="49"/>
      <c r="H178" s="60">
        <f t="shared" si="17"/>
        <v>0</v>
      </c>
      <c r="I178" s="49">
        <f t="shared" si="18"/>
        <v>0</v>
      </c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49">
        <f t="shared" si="19"/>
        <v>0</v>
      </c>
      <c r="V178" s="29">
        <f t="shared" si="20"/>
        <v>0</v>
      </c>
      <c r="W178" s="29">
        <f t="shared" si="21"/>
        <v>0</v>
      </c>
      <c r="X178" s="61">
        <f t="shared" si="24"/>
        <v>0</v>
      </c>
      <c r="Y178" s="61"/>
      <c r="Z178" s="61"/>
      <c r="AA178" s="61"/>
      <c r="AB178" s="61"/>
      <c r="AC178" s="61"/>
      <c r="AD178" s="61"/>
      <c r="AE178" s="61">
        <f t="shared" si="22"/>
        <v>0</v>
      </c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49">
        <f t="shared" si="23"/>
        <v>0</v>
      </c>
    </row>
    <row r="179" spans="1:57" ht="15" hidden="1" customHeight="1" x14ac:dyDescent="0.2">
      <c r="A179" s="36">
        <v>168</v>
      </c>
      <c r="B179" s="59"/>
      <c r="C179" s="38"/>
      <c r="D179" s="38" t="e">
        <f>VLOOKUP(C179,Planilha1!$J$2:$L$206,3,)</f>
        <v>#N/A</v>
      </c>
      <c r="E179" s="39"/>
      <c r="F179" s="40"/>
      <c r="G179" s="49"/>
      <c r="H179" s="60">
        <f t="shared" si="17"/>
        <v>0</v>
      </c>
      <c r="I179" s="49">
        <f t="shared" si="18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49">
        <f t="shared" si="19"/>
        <v>0</v>
      </c>
      <c r="V179" s="29">
        <f t="shared" si="20"/>
        <v>0</v>
      </c>
      <c r="W179" s="29">
        <f t="shared" si="21"/>
        <v>0</v>
      </c>
      <c r="X179" s="61">
        <f t="shared" si="24"/>
        <v>0</v>
      </c>
      <c r="Y179" s="61"/>
      <c r="Z179" s="61"/>
      <c r="AA179" s="61"/>
      <c r="AB179" s="61"/>
      <c r="AC179" s="61"/>
      <c r="AD179" s="61"/>
      <c r="AE179" s="49">
        <f t="shared" si="22"/>
        <v>0</v>
      </c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49">
        <f t="shared" si="23"/>
        <v>0</v>
      </c>
    </row>
    <row r="180" spans="1:57" ht="15" hidden="1" customHeight="1" x14ac:dyDescent="0.2">
      <c r="A180" s="36">
        <v>169</v>
      </c>
      <c r="B180" s="59"/>
      <c r="C180" s="38"/>
      <c r="D180" s="38" t="e">
        <f>VLOOKUP(C180,Planilha1!$J$2:$L$206,3,)</f>
        <v>#N/A</v>
      </c>
      <c r="E180" s="39"/>
      <c r="F180" s="40"/>
      <c r="G180" s="49"/>
      <c r="H180" s="60">
        <f t="shared" si="17"/>
        <v>0</v>
      </c>
      <c r="I180" s="49">
        <f t="shared" si="18"/>
        <v>0</v>
      </c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49">
        <f t="shared" si="19"/>
        <v>0</v>
      </c>
      <c r="V180" s="29">
        <f t="shared" si="20"/>
        <v>0</v>
      </c>
      <c r="W180" s="29">
        <f t="shared" si="21"/>
        <v>0</v>
      </c>
      <c r="X180" s="61">
        <f t="shared" si="24"/>
        <v>0</v>
      </c>
      <c r="Y180" s="61"/>
      <c r="Z180" s="61"/>
      <c r="AA180" s="61"/>
      <c r="AB180" s="61"/>
      <c r="AC180" s="61"/>
      <c r="AD180" s="61"/>
      <c r="AE180" s="61">
        <f t="shared" si="22"/>
        <v>0</v>
      </c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49">
        <f t="shared" si="23"/>
        <v>0</v>
      </c>
    </row>
    <row r="181" spans="1:57" ht="15" hidden="1" customHeight="1" x14ac:dyDescent="0.2">
      <c r="A181" s="36">
        <v>170</v>
      </c>
      <c r="B181" s="59"/>
      <c r="C181" s="38"/>
      <c r="D181" s="38" t="e">
        <f>VLOOKUP(C181,Planilha1!$J$2:$L$206,3,)</f>
        <v>#N/A</v>
      </c>
      <c r="E181" s="39"/>
      <c r="F181" s="40"/>
      <c r="G181" s="49"/>
      <c r="H181" s="60">
        <f t="shared" si="17"/>
        <v>0</v>
      </c>
      <c r="I181" s="49">
        <f t="shared" si="18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49">
        <f t="shared" si="19"/>
        <v>0</v>
      </c>
      <c r="V181" s="29">
        <f t="shared" si="20"/>
        <v>0</v>
      </c>
      <c r="W181" s="29">
        <f t="shared" si="21"/>
        <v>0</v>
      </c>
      <c r="X181" s="61">
        <f t="shared" si="24"/>
        <v>0</v>
      </c>
      <c r="Y181" s="61"/>
      <c r="Z181" s="61"/>
      <c r="AA181" s="61"/>
      <c r="AB181" s="61"/>
      <c r="AC181" s="61"/>
      <c r="AD181" s="61"/>
      <c r="AE181" s="49">
        <f t="shared" si="22"/>
        <v>0</v>
      </c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49">
        <f t="shared" si="23"/>
        <v>0</v>
      </c>
    </row>
    <row r="182" spans="1:57" ht="15" hidden="1" customHeight="1" x14ac:dyDescent="0.2">
      <c r="A182" s="36">
        <v>171</v>
      </c>
      <c r="B182" s="59"/>
      <c r="C182" s="38"/>
      <c r="D182" s="38" t="e">
        <f>VLOOKUP(C182,Planilha1!$J$2:$L$206,3,)</f>
        <v>#N/A</v>
      </c>
      <c r="E182" s="39"/>
      <c r="F182" s="40"/>
      <c r="G182" s="49"/>
      <c r="H182" s="60">
        <f t="shared" si="17"/>
        <v>0</v>
      </c>
      <c r="I182" s="49">
        <f t="shared" si="18"/>
        <v>0</v>
      </c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49">
        <f t="shared" si="19"/>
        <v>0</v>
      </c>
      <c r="V182" s="29">
        <f t="shared" si="20"/>
        <v>0</v>
      </c>
      <c r="W182" s="29">
        <f t="shared" si="21"/>
        <v>0</v>
      </c>
      <c r="X182" s="61">
        <f t="shared" si="24"/>
        <v>0</v>
      </c>
      <c r="Y182" s="61"/>
      <c r="Z182" s="61"/>
      <c r="AA182" s="61"/>
      <c r="AB182" s="61"/>
      <c r="AC182" s="61"/>
      <c r="AD182" s="61"/>
      <c r="AE182" s="61">
        <f t="shared" si="22"/>
        <v>0</v>
      </c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49">
        <f t="shared" si="23"/>
        <v>0</v>
      </c>
    </row>
    <row r="183" spans="1:57" ht="15" hidden="1" customHeight="1" x14ac:dyDescent="0.2">
      <c r="A183" s="36">
        <v>172</v>
      </c>
      <c r="B183" s="59"/>
      <c r="C183" s="38"/>
      <c r="D183" s="38" t="e">
        <f>VLOOKUP(C183,Planilha1!$J$2:$L$206,3,)</f>
        <v>#N/A</v>
      </c>
      <c r="E183" s="39"/>
      <c r="F183" s="40"/>
      <c r="G183" s="49"/>
      <c r="H183" s="60">
        <f t="shared" si="17"/>
        <v>0</v>
      </c>
      <c r="I183" s="49">
        <f t="shared" si="18"/>
        <v>0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49">
        <f t="shared" si="19"/>
        <v>0</v>
      </c>
      <c r="V183" s="29">
        <f t="shared" si="20"/>
        <v>0</v>
      </c>
      <c r="W183" s="29">
        <f t="shared" si="21"/>
        <v>0</v>
      </c>
      <c r="X183" s="61">
        <f t="shared" si="24"/>
        <v>0</v>
      </c>
      <c r="Y183" s="61"/>
      <c r="Z183" s="61"/>
      <c r="AA183" s="61"/>
      <c r="AB183" s="61"/>
      <c r="AC183" s="61"/>
      <c r="AD183" s="61"/>
      <c r="AE183" s="49">
        <f t="shared" si="22"/>
        <v>0</v>
      </c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49">
        <f t="shared" si="23"/>
        <v>0</v>
      </c>
    </row>
    <row r="184" spans="1:57" ht="15" hidden="1" customHeight="1" x14ac:dyDescent="0.2">
      <c r="A184" s="36">
        <v>173</v>
      </c>
      <c r="B184" s="59"/>
      <c r="C184" s="38"/>
      <c r="D184" s="38" t="e">
        <f>VLOOKUP(C184,Planilha1!$J$2:$L$206,3,)</f>
        <v>#N/A</v>
      </c>
      <c r="E184" s="39"/>
      <c r="F184" s="40"/>
      <c r="G184" s="49"/>
      <c r="H184" s="60">
        <f t="shared" si="17"/>
        <v>0</v>
      </c>
      <c r="I184" s="49">
        <f t="shared" si="18"/>
        <v>0</v>
      </c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49">
        <f t="shared" si="19"/>
        <v>0</v>
      </c>
      <c r="V184" s="29">
        <f t="shared" si="20"/>
        <v>0</v>
      </c>
      <c r="W184" s="29">
        <f t="shared" si="21"/>
        <v>0</v>
      </c>
      <c r="X184" s="61">
        <f t="shared" si="24"/>
        <v>0</v>
      </c>
      <c r="Y184" s="61"/>
      <c r="Z184" s="61"/>
      <c r="AA184" s="61"/>
      <c r="AB184" s="61"/>
      <c r="AC184" s="61"/>
      <c r="AD184" s="61"/>
      <c r="AE184" s="61">
        <f t="shared" si="22"/>
        <v>0</v>
      </c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49">
        <f t="shared" si="23"/>
        <v>0</v>
      </c>
    </row>
    <row r="185" spans="1:57" ht="15" hidden="1" customHeight="1" x14ac:dyDescent="0.2">
      <c r="A185" s="36">
        <v>174</v>
      </c>
      <c r="B185" s="59"/>
      <c r="C185" s="38"/>
      <c r="D185" s="38" t="e">
        <f>VLOOKUP(C185,Planilha1!$J$2:$L$206,3,)</f>
        <v>#N/A</v>
      </c>
      <c r="E185" s="39"/>
      <c r="F185" s="40"/>
      <c r="G185" s="49"/>
      <c r="H185" s="60">
        <f t="shared" si="17"/>
        <v>0</v>
      </c>
      <c r="I185" s="49">
        <f t="shared" si="18"/>
        <v>0</v>
      </c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49">
        <f t="shared" si="19"/>
        <v>0</v>
      </c>
      <c r="V185" s="29">
        <f t="shared" si="20"/>
        <v>0</v>
      </c>
      <c r="W185" s="29">
        <f t="shared" si="21"/>
        <v>0</v>
      </c>
      <c r="X185" s="61">
        <f t="shared" si="24"/>
        <v>0</v>
      </c>
      <c r="Y185" s="61"/>
      <c r="Z185" s="61"/>
      <c r="AA185" s="61"/>
      <c r="AB185" s="61"/>
      <c r="AC185" s="61"/>
      <c r="AD185" s="61"/>
      <c r="AE185" s="49">
        <f t="shared" si="22"/>
        <v>0</v>
      </c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49">
        <f t="shared" si="23"/>
        <v>0</v>
      </c>
    </row>
    <row r="186" spans="1:57" ht="15" hidden="1" customHeight="1" x14ac:dyDescent="0.2">
      <c r="A186" s="36">
        <v>175</v>
      </c>
      <c r="B186" s="59"/>
      <c r="C186" s="38"/>
      <c r="D186" s="38" t="e">
        <f>VLOOKUP(C186,Planilha1!$J$2:$L$206,3,)</f>
        <v>#N/A</v>
      </c>
      <c r="E186" s="39"/>
      <c r="F186" s="40"/>
      <c r="G186" s="49"/>
      <c r="H186" s="60">
        <f t="shared" si="17"/>
        <v>0</v>
      </c>
      <c r="I186" s="49">
        <f t="shared" si="18"/>
        <v>0</v>
      </c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49">
        <f t="shared" si="19"/>
        <v>0</v>
      </c>
      <c r="V186" s="29">
        <f t="shared" si="20"/>
        <v>0</v>
      </c>
      <c r="W186" s="29">
        <f t="shared" si="21"/>
        <v>0</v>
      </c>
      <c r="X186" s="61">
        <f t="shared" si="24"/>
        <v>0</v>
      </c>
      <c r="Y186" s="61"/>
      <c r="Z186" s="61"/>
      <c r="AA186" s="61"/>
      <c r="AB186" s="61"/>
      <c r="AC186" s="61"/>
      <c r="AD186" s="61"/>
      <c r="AE186" s="61">
        <f t="shared" si="22"/>
        <v>0</v>
      </c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49">
        <f t="shared" si="23"/>
        <v>0</v>
      </c>
    </row>
    <row r="187" spans="1:57" ht="15" hidden="1" customHeight="1" x14ac:dyDescent="0.2">
      <c r="A187" s="36">
        <v>176</v>
      </c>
      <c r="B187" s="59"/>
      <c r="C187" s="38"/>
      <c r="D187" s="38" t="e">
        <f>VLOOKUP(C187,Planilha1!$J$2:$L$206,3,)</f>
        <v>#N/A</v>
      </c>
      <c r="E187" s="39"/>
      <c r="F187" s="40"/>
      <c r="G187" s="49"/>
      <c r="H187" s="60">
        <f t="shared" si="17"/>
        <v>0</v>
      </c>
      <c r="I187" s="49">
        <f t="shared" si="18"/>
        <v>0</v>
      </c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49">
        <f t="shared" si="19"/>
        <v>0</v>
      </c>
      <c r="V187" s="29">
        <f t="shared" si="20"/>
        <v>0</v>
      </c>
      <c r="W187" s="29">
        <f t="shared" si="21"/>
        <v>0</v>
      </c>
      <c r="X187" s="61">
        <f t="shared" si="24"/>
        <v>0</v>
      </c>
      <c r="Y187" s="61"/>
      <c r="Z187" s="61"/>
      <c r="AA187" s="61"/>
      <c r="AB187" s="61"/>
      <c r="AC187" s="61"/>
      <c r="AD187" s="61"/>
      <c r="AE187" s="49">
        <f t="shared" si="22"/>
        <v>0</v>
      </c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49">
        <f t="shared" si="23"/>
        <v>0</v>
      </c>
    </row>
    <row r="188" spans="1:57" ht="15" hidden="1" customHeight="1" x14ac:dyDescent="0.2">
      <c r="A188" s="36">
        <v>177</v>
      </c>
      <c r="B188" s="59"/>
      <c r="C188" s="38"/>
      <c r="D188" s="38" t="e">
        <f>VLOOKUP(C188,Planilha1!$J$2:$L$206,3,)</f>
        <v>#N/A</v>
      </c>
      <c r="E188" s="39"/>
      <c r="F188" s="40"/>
      <c r="G188" s="49"/>
      <c r="H188" s="60">
        <f t="shared" si="17"/>
        <v>0</v>
      </c>
      <c r="I188" s="49">
        <f t="shared" si="18"/>
        <v>0</v>
      </c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49">
        <f t="shared" si="19"/>
        <v>0</v>
      </c>
      <c r="V188" s="29">
        <f t="shared" si="20"/>
        <v>0</v>
      </c>
      <c r="W188" s="29">
        <f t="shared" si="21"/>
        <v>0</v>
      </c>
      <c r="X188" s="61">
        <f t="shared" si="24"/>
        <v>0</v>
      </c>
      <c r="Y188" s="61"/>
      <c r="Z188" s="61"/>
      <c r="AA188" s="61"/>
      <c r="AB188" s="61"/>
      <c r="AC188" s="61"/>
      <c r="AD188" s="61"/>
      <c r="AE188" s="61">
        <f t="shared" si="22"/>
        <v>0</v>
      </c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49">
        <f t="shared" si="23"/>
        <v>0</v>
      </c>
    </row>
    <row r="189" spans="1:57" ht="15" hidden="1" customHeight="1" x14ac:dyDescent="0.2">
      <c r="A189" s="36">
        <v>178</v>
      </c>
      <c r="B189" s="59"/>
      <c r="C189" s="38"/>
      <c r="D189" s="38" t="e">
        <f>VLOOKUP(C189,Planilha1!$J$2:$L$206,3,)</f>
        <v>#N/A</v>
      </c>
      <c r="E189" s="39"/>
      <c r="F189" s="40"/>
      <c r="G189" s="49"/>
      <c r="H189" s="60">
        <f t="shared" si="17"/>
        <v>0</v>
      </c>
      <c r="I189" s="49">
        <f t="shared" si="18"/>
        <v>0</v>
      </c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49">
        <f t="shared" si="19"/>
        <v>0</v>
      </c>
      <c r="V189" s="29">
        <f t="shared" si="20"/>
        <v>0</v>
      </c>
      <c r="W189" s="29">
        <f t="shared" si="21"/>
        <v>0</v>
      </c>
      <c r="X189" s="61">
        <f t="shared" si="24"/>
        <v>0</v>
      </c>
      <c r="Y189" s="61"/>
      <c r="Z189" s="61"/>
      <c r="AA189" s="61"/>
      <c r="AB189" s="61"/>
      <c r="AC189" s="61"/>
      <c r="AD189" s="61"/>
      <c r="AE189" s="49">
        <f t="shared" si="22"/>
        <v>0</v>
      </c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49">
        <f t="shared" si="23"/>
        <v>0</v>
      </c>
    </row>
    <row r="190" spans="1:57" ht="15" hidden="1" customHeight="1" x14ac:dyDescent="0.2">
      <c r="A190" s="36">
        <v>179</v>
      </c>
      <c r="B190" s="59"/>
      <c r="C190" s="38"/>
      <c r="D190" s="38" t="e">
        <f>VLOOKUP(C190,Planilha1!$J$2:$L$206,3,)</f>
        <v>#N/A</v>
      </c>
      <c r="E190" s="39"/>
      <c r="F190" s="40"/>
      <c r="G190" s="49"/>
      <c r="H190" s="60">
        <f t="shared" si="17"/>
        <v>0</v>
      </c>
      <c r="I190" s="49">
        <f t="shared" si="18"/>
        <v>0</v>
      </c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49">
        <f t="shared" si="19"/>
        <v>0</v>
      </c>
      <c r="V190" s="29">
        <f t="shared" si="20"/>
        <v>0</v>
      </c>
      <c r="W190" s="29">
        <f t="shared" si="21"/>
        <v>0</v>
      </c>
      <c r="X190" s="61">
        <f t="shared" si="24"/>
        <v>0</v>
      </c>
      <c r="Y190" s="61"/>
      <c r="Z190" s="61"/>
      <c r="AA190" s="61"/>
      <c r="AB190" s="61"/>
      <c r="AC190" s="61"/>
      <c r="AD190" s="61"/>
      <c r="AE190" s="61">
        <f t="shared" si="22"/>
        <v>0</v>
      </c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49">
        <f t="shared" si="23"/>
        <v>0</v>
      </c>
    </row>
    <row r="191" spans="1:57" ht="15" hidden="1" customHeight="1" x14ac:dyDescent="0.2">
      <c r="A191" s="36">
        <v>180</v>
      </c>
      <c r="B191" s="59"/>
      <c r="C191" s="38"/>
      <c r="D191" s="38" t="e">
        <f>VLOOKUP(C191,Planilha1!$J$2:$L$206,3,)</f>
        <v>#N/A</v>
      </c>
      <c r="E191" s="39"/>
      <c r="F191" s="40"/>
      <c r="G191" s="49"/>
      <c r="H191" s="60">
        <f t="shared" si="17"/>
        <v>0</v>
      </c>
      <c r="I191" s="49">
        <f t="shared" si="18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49">
        <f t="shared" si="19"/>
        <v>0</v>
      </c>
      <c r="V191" s="29">
        <f t="shared" si="20"/>
        <v>0</v>
      </c>
      <c r="W191" s="29">
        <f t="shared" si="21"/>
        <v>0</v>
      </c>
      <c r="X191" s="61">
        <f t="shared" si="24"/>
        <v>0</v>
      </c>
      <c r="Y191" s="61"/>
      <c r="Z191" s="61"/>
      <c r="AA191" s="61"/>
      <c r="AB191" s="61"/>
      <c r="AC191" s="61"/>
      <c r="AD191" s="61"/>
      <c r="AE191" s="49">
        <f t="shared" si="22"/>
        <v>0</v>
      </c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49">
        <f t="shared" si="23"/>
        <v>0</v>
      </c>
    </row>
    <row r="192" spans="1:57" ht="15" hidden="1" customHeight="1" x14ac:dyDescent="0.2">
      <c r="A192" s="36">
        <v>181</v>
      </c>
      <c r="B192" s="59"/>
      <c r="C192" s="38"/>
      <c r="D192" s="38" t="e">
        <f>VLOOKUP(C192,Planilha1!$J$2:$L$206,3,)</f>
        <v>#N/A</v>
      </c>
      <c r="E192" s="39"/>
      <c r="F192" s="40"/>
      <c r="G192" s="49"/>
      <c r="H192" s="60">
        <f t="shared" si="17"/>
        <v>0</v>
      </c>
      <c r="I192" s="49">
        <f t="shared" si="18"/>
        <v>0</v>
      </c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49">
        <f t="shared" si="19"/>
        <v>0</v>
      </c>
      <c r="V192" s="29">
        <f t="shared" si="20"/>
        <v>0</v>
      </c>
      <c r="W192" s="29">
        <f t="shared" si="21"/>
        <v>0</v>
      </c>
      <c r="X192" s="61">
        <f t="shared" si="24"/>
        <v>0</v>
      </c>
      <c r="Y192" s="61"/>
      <c r="Z192" s="61"/>
      <c r="AA192" s="61"/>
      <c r="AB192" s="61"/>
      <c r="AC192" s="61"/>
      <c r="AD192" s="61"/>
      <c r="AE192" s="61">
        <f t="shared" si="22"/>
        <v>0</v>
      </c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49">
        <f t="shared" si="23"/>
        <v>0</v>
      </c>
    </row>
    <row r="193" spans="1:57" ht="15" hidden="1" customHeight="1" x14ac:dyDescent="0.2">
      <c r="A193" s="36">
        <v>182</v>
      </c>
      <c r="B193" s="59"/>
      <c r="C193" s="38"/>
      <c r="D193" s="38" t="e">
        <f>VLOOKUP(C193,Planilha1!$J$2:$L$206,3,)</f>
        <v>#N/A</v>
      </c>
      <c r="E193" s="39"/>
      <c r="F193" s="40"/>
      <c r="G193" s="49"/>
      <c r="H193" s="60">
        <f t="shared" si="17"/>
        <v>0</v>
      </c>
      <c r="I193" s="49">
        <f t="shared" si="18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49">
        <f t="shared" si="19"/>
        <v>0</v>
      </c>
      <c r="V193" s="29">
        <f t="shared" si="20"/>
        <v>0</v>
      </c>
      <c r="W193" s="29">
        <f t="shared" si="21"/>
        <v>0</v>
      </c>
      <c r="X193" s="61">
        <f t="shared" si="24"/>
        <v>0</v>
      </c>
      <c r="Y193" s="61"/>
      <c r="Z193" s="61"/>
      <c r="AA193" s="61"/>
      <c r="AB193" s="61"/>
      <c r="AC193" s="61"/>
      <c r="AD193" s="61"/>
      <c r="AE193" s="49">
        <f t="shared" si="22"/>
        <v>0</v>
      </c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49">
        <f t="shared" si="23"/>
        <v>0</v>
      </c>
    </row>
    <row r="194" spans="1:57" ht="15" hidden="1" customHeight="1" x14ac:dyDescent="0.2">
      <c r="A194" s="36">
        <v>183</v>
      </c>
      <c r="B194" s="59"/>
      <c r="C194" s="38"/>
      <c r="D194" s="38" t="e">
        <f>VLOOKUP(C194,Planilha1!$J$2:$L$206,3,)</f>
        <v>#N/A</v>
      </c>
      <c r="E194" s="39"/>
      <c r="F194" s="40"/>
      <c r="G194" s="49"/>
      <c r="H194" s="60">
        <f t="shared" si="17"/>
        <v>0</v>
      </c>
      <c r="I194" s="49">
        <f t="shared" si="18"/>
        <v>0</v>
      </c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49">
        <f t="shared" si="19"/>
        <v>0</v>
      </c>
      <c r="V194" s="29">
        <f t="shared" si="20"/>
        <v>0</v>
      </c>
      <c r="W194" s="29">
        <f t="shared" si="21"/>
        <v>0</v>
      </c>
      <c r="X194" s="61">
        <f t="shared" si="24"/>
        <v>0</v>
      </c>
      <c r="Y194" s="61"/>
      <c r="Z194" s="61"/>
      <c r="AA194" s="61"/>
      <c r="AB194" s="61"/>
      <c r="AC194" s="61"/>
      <c r="AD194" s="61"/>
      <c r="AE194" s="61">
        <f t="shared" si="22"/>
        <v>0</v>
      </c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49">
        <f t="shared" si="23"/>
        <v>0</v>
      </c>
    </row>
    <row r="195" spans="1:57" ht="15" customHeight="1" thickBot="1" x14ac:dyDescent="0.25">
      <c r="C195" s="41" t="s">
        <v>2</v>
      </c>
      <c r="D195" s="42"/>
      <c r="E195" s="43"/>
      <c r="F195" s="48">
        <f>SUM(F12:F194)</f>
        <v>740176</v>
      </c>
      <c r="G195" s="44"/>
      <c r="H195" s="44">
        <f t="shared" ref="H195:U195" si="25">SUM(H12:H194)</f>
        <v>5858</v>
      </c>
      <c r="I195" s="44">
        <f t="shared" si="25"/>
        <v>627</v>
      </c>
      <c r="J195" s="44">
        <f t="shared" si="25"/>
        <v>0</v>
      </c>
      <c r="K195" s="44">
        <f t="shared" si="25"/>
        <v>26</v>
      </c>
      <c r="L195" s="44">
        <f t="shared" si="25"/>
        <v>2</v>
      </c>
      <c r="M195" s="44">
        <f t="shared" si="25"/>
        <v>5</v>
      </c>
      <c r="N195" s="44">
        <f t="shared" si="25"/>
        <v>1</v>
      </c>
      <c r="O195" s="44">
        <f t="shared" si="25"/>
        <v>12</v>
      </c>
      <c r="P195" s="44">
        <f t="shared" si="25"/>
        <v>93</v>
      </c>
      <c r="Q195" s="44">
        <f t="shared" si="25"/>
        <v>55</v>
      </c>
      <c r="R195" s="44">
        <f t="shared" si="25"/>
        <v>6</v>
      </c>
      <c r="S195" s="44">
        <f t="shared" si="25"/>
        <v>97</v>
      </c>
      <c r="T195" s="44">
        <f t="shared" si="25"/>
        <v>17</v>
      </c>
      <c r="U195" s="44">
        <f t="shared" si="25"/>
        <v>5231</v>
      </c>
      <c r="V195" s="45">
        <f t="shared" ref="V195" si="26">IF(H195,U195/H195,0)</f>
        <v>0.89296688289518611</v>
      </c>
      <c r="W195" s="45">
        <f t="shared" ref="W195" si="27">IF(H195,I195/H195,0)</f>
        <v>0.10703311710481393</v>
      </c>
      <c r="X195" s="44">
        <f>SUM(X12:X194)</f>
        <v>2928</v>
      </c>
      <c r="Y195" s="44">
        <f>SUM(Y12:Y194)</f>
        <v>255</v>
      </c>
      <c r="Z195" s="44">
        <f>SUM(Z12:Z194)</f>
        <v>286</v>
      </c>
      <c r="AA195" s="44">
        <f t="shared" ref="AA195:AD195" si="28">SUM(AA12:AA194)</f>
        <v>881</v>
      </c>
      <c r="AB195" s="44">
        <f t="shared" si="28"/>
        <v>132</v>
      </c>
      <c r="AC195" s="44">
        <f t="shared" si="28"/>
        <v>6</v>
      </c>
      <c r="AD195" s="44">
        <f t="shared" si="28"/>
        <v>0</v>
      </c>
      <c r="AE195" s="44">
        <f t="shared" ref="AE195:BE195" si="29">SUM(AE12:AE194)</f>
        <v>2303</v>
      </c>
      <c r="AF195" s="44">
        <f t="shared" si="29"/>
        <v>18</v>
      </c>
      <c r="AG195" s="44">
        <f t="shared" si="29"/>
        <v>5</v>
      </c>
      <c r="AH195" s="44">
        <f t="shared" si="29"/>
        <v>0</v>
      </c>
      <c r="AI195" s="44">
        <f t="shared" si="29"/>
        <v>0</v>
      </c>
      <c r="AJ195" s="44">
        <f t="shared" si="29"/>
        <v>3</v>
      </c>
      <c r="AK195" s="44">
        <f t="shared" si="29"/>
        <v>23</v>
      </c>
      <c r="AL195" s="44">
        <f t="shared" si="29"/>
        <v>11</v>
      </c>
      <c r="AM195" s="44">
        <f t="shared" si="29"/>
        <v>27</v>
      </c>
      <c r="AN195" s="44">
        <f t="shared" si="29"/>
        <v>0</v>
      </c>
      <c r="AO195" s="44">
        <f t="shared" si="29"/>
        <v>2</v>
      </c>
      <c r="AP195" s="44">
        <f t="shared" si="29"/>
        <v>37</v>
      </c>
      <c r="AQ195" s="44">
        <f t="shared" si="29"/>
        <v>24</v>
      </c>
      <c r="AR195" s="44">
        <f t="shared" si="29"/>
        <v>1</v>
      </c>
      <c r="AS195" s="44">
        <f t="shared" si="29"/>
        <v>17</v>
      </c>
      <c r="AT195" s="44">
        <f t="shared" si="29"/>
        <v>37</v>
      </c>
      <c r="AU195" s="44">
        <f t="shared" si="29"/>
        <v>1</v>
      </c>
      <c r="AV195" s="44">
        <f t="shared" si="29"/>
        <v>1</v>
      </c>
      <c r="AW195" s="44">
        <f t="shared" si="29"/>
        <v>1460</v>
      </c>
      <c r="AX195" s="44">
        <f t="shared" si="29"/>
        <v>5</v>
      </c>
      <c r="AY195" s="44">
        <f t="shared" si="29"/>
        <v>151</v>
      </c>
      <c r="AZ195" s="44">
        <f t="shared" si="29"/>
        <v>42</v>
      </c>
      <c r="BA195" s="44">
        <f t="shared" si="29"/>
        <v>14</v>
      </c>
      <c r="BB195" s="44">
        <f t="shared" si="29"/>
        <v>1</v>
      </c>
      <c r="BC195" s="44">
        <f t="shared" si="29"/>
        <v>51</v>
      </c>
      <c r="BD195" s="44">
        <f t="shared" si="29"/>
        <v>5</v>
      </c>
      <c r="BE195" s="46">
        <f t="shared" si="29"/>
        <v>2930</v>
      </c>
    </row>
    <row r="196" spans="1:57" ht="16" thickBot="1" x14ac:dyDescent="0.25">
      <c r="BA196" s="2"/>
      <c r="BB196" s="2"/>
      <c r="BC196" s="1"/>
    </row>
    <row r="197" spans="1:57" x14ac:dyDescent="0.2">
      <c r="C197" s="22" t="s">
        <v>9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25"/>
    </row>
    <row r="198" spans="1:57" x14ac:dyDescent="0.2">
      <c r="C198" s="23"/>
      <c r="BE198" s="26"/>
    </row>
    <row r="199" spans="1:57" x14ac:dyDescent="0.2">
      <c r="C199" s="23"/>
      <c r="BE199" s="26"/>
    </row>
    <row r="200" spans="1:57" x14ac:dyDescent="0.2">
      <c r="C200" s="23"/>
      <c r="BE200" s="26"/>
    </row>
    <row r="201" spans="1:57" x14ac:dyDescent="0.2">
      <c r="C201" s="23" t="str">
        <f>'RELATÓRIO APROV. DE LEGÍVEIS'!C421</f>
        <v>GOIÂNIA, 01 DE SETEMBRO DE 2024</v>
      </c>
      <c r="BE201" s="26"/>
    </row>
    <row r="202" spans="1:57" ht="16" thickBot="1" x14ac:dyDescent="0.25">
      <c r="C202" s="24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27"/>
    </row>
  </sheetData>
  <autoFilter ref="A11:BE195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AD6:AO6"/>
    <mergeCell ref="C7:L7"/>
    <mergeCell ref="U7:AB7"/>
    <mergeCell ref="C10:H10"/>
    <mergeCell ref="J11:T11"/>
    <mergeCell ref="AF11:BD11"/>
    <mergeCell ref="C6:R6"/>
    <mergeCell ref="U6:AB6"/>
    <mergeCell ref="C3:R4"/>
    <mergeCell ref="U3:AB3"/>
    <mergeCell ref="U4:AB4"/>
    <mergeCell ref="C5:L5"/>
    <mergeCell ref="U5:AB5"/>
  </mergeCells>
  <conditionalFormatting sqref="H12:H194">
    <cfRule type="cellIs" dxfId="3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A6B2-B79E-3C47-83AD-E1F68AEF9D8E}">
  <sheetPr>
    <pageSetUpPr fitToPage="1"/>
  </sheetPr>
  <dimension ref="A1:BK32"/>
  <sheetViews>
    <sheetView showGridLines="0" zoomScale="90" zoomScaleNormal="90" workbookViewId="0">
      <pane ySplit="11" topLeftCell="A12" activePane="bottomLeft" state="frozen"/>
      <selection pane="bottomLeft" activeCell="AF10" sqref="AF10:BD10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31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/>
      <c r="C12" s="37"/>
      <c r="D12" s="38" t="e">
        <f>VLOOKUP(C12,Planilha1!$J$2:$L$206,3,)</f>
        <v>#N/A</v>
      </c>
      <c r="E12" s="39"/>
      <c r="F12" s="40"/>
      <c r="G12" s="49"/>
      <c r="H12" s="60">
        <f t="shared" ref="H12:H24" si="0">I12+U12</f>
        <v>0</v>
      </c>
      <c r="I12" s="49">
        <f t="shared" ref="I12:I24" si="1">SUM(J12:T12)</f>
        <v>0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49">
        <f>X12+AE12</f>
        <v>0</v>
      </c>
      <c r="V12" s="29">
        <f t="shared" ref="V12:V25" si="2">IF(H12,U12/H12,0)</f>
        <v>0</v>
      </c>
      <c r="W12" s="29">
        <f t="shared" ref="W12:W25" si="3">IF(H12,I12/H12,0)</f>
        <v>0</v>
      </c>
      <c r="X12" s="61">
        <f>SUM(Y12:AD12)</f>
        <v>0</v>
      </c>
      <c r="Y12" s="61"/>
      <c r="Z12" s="61"/>
      <c r="AA12" s="61"/>
      <c r="AB12" s="61"/>
      <c r="AC12" s="61"/>
      <c r="AD12" s="61"/>
      <c r="AE12" s="61">
        <f t="shared" ref="AE12:AE24" si="4">SUM(AF12:BD12)</f>
        <v>0</v>
      </c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49">
        <f t="shared" ref="BE12:BE24" si="5">I12+AE12</f>
        <v>0</v>
      </c>
    </row>
    <row r="13" spans="1:63" ht="15" customHeight="1" x14ac:dyDescent="0.2">
      <c r="A13" s="36">
        <v>2</v>
      </c>
      <c r="B13" s="59"/>
      <c r="C13" s="38"/>
      <c r="D13" s="38" t="e">
        <f>VLOOKUP(C13,Planilha1!$J$2:$L$206,3,)</f>
        <v>#N/A</v>
      </c>
      <c r="E13" s="39"/>
      <c r="F13" s="40"/>
      <c r="G13" s="49"/>
      <c r="H13" s="60">
        <f t="shared" si="0"/>
        <v>0</v>
      </c>
      <c r="I13" s="49">
        <f t="shared" si="1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49">
        <f>X13+AE13</f>
        <v>0</v>
      </c>
      <c r="V13" s="29">
        <f t="shared" si="2"/>
        <v>0</v>
      </c>
      <c r="W13" s="29">
        <f t="shared" si="3"/>
        <v>0</v>
      </c>
      <c r="X13" s="61">
        <f t="shared" ref="X13:X24" si="6">SUM(Y13:AD13)</f>
        <v>0</v>
      </c>
      <c r="Y13" s="61"/>
      <c r="Z13" s="61"/>
      <c r="AA13" s="61"/>
      <c r="AB13" s="61"/>
      <c r="AC13" s="61"/>
      <c r="AD13" s="61"/>
      <c r="AE13" s="49">
        <f t="shared" si="4"/>
        <v>0</v>
      </c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49">
        <f t="shared" si="5"/>
        <v>0</v>
      </c>
    </row>
    <row r="14" spans="1:63" ht="15" customHeight="1" x14ac:dyDescent="0.2">
      <c r="A14" s="36">
        <v>3</v>
      </c>
      <c r="B14" s="59"/>
      <c r="C14" s="38"/>
      <c r="D14" s="38" t="e">
        <f>VLOOKUP(C14,Planilha1!$J$2:$L$206,3,)</f>
        <v>#N/A</v>
      </c>
      <c r="E14" s="39"/>
      <c r="F14" s="40"/>
      <c r="G14" s="49"/>
      <c r="H14" s="60">
        <f t="shared" si="0"/>
        <v>0</v>
      </c>
      <c r="I14" s="49">
        <f t="shared" si="1"/>
        <v>0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49">
        <f>X14+AE14</f>
        <v>0</v>
      </c>
      <c r="V14" s="29">
        <f t="shared" si="2"/>
        <v>0</v>
      </c>
      <c r="W14" s="29">
        <f t="shared" si="3"/>
        <v>0</v>
      </c>
      <c r="X14" s="61">
        <f t="shared" si="6"/>
        <v>0</v>
      </c>
      <c r="Y14" s="61"/>
      <c r="Z14" s="61"/>
      <c r="AA14" s="61"/>
      <c r="AB14" s="61"/>
      <c r="AC14" s="61"/>
      <c r="AD14" s="61"/>
      <c r="AE14" s="61">
        <f t="shared" si="4"/>
        <v>0</v>
      </c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49">
        <f t="shared" si="5"/>
        <v>0</v>
      </c>
    </row>
    <row r="15" spans="1:63" ht="15" customHeight="1" x14ac:dyDescent="0.2">
      <c r="A15" s="36">
        <v>4</v>
      </c>
      <c r="B15" s="59"/>
      <c r="C15" s="38"/>
      <c r="D15" s="38" t="e">
        <f>VLOOKUP(C15,Planilha1!$J$2:$L$206,3,)</f>
        <v>#N/A</v>
      </c>
      <c r="E15" s="39"/>
      <c r="F15" s="40"/>
      <c r="G15" s="49"/>
      <c r="H15" s="60">
        <f t="shared" si="0"/>
        <v>0</v>
      </c>
      <c r="I15" s="49">
        <f t="shared" si="1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49">
        <f t="shared" ref="U15:U21" si="7">X15+AE15</f>
        <v>0</v>
      </c>
      <c r="V15" s="29">
        <f t="shared" si="2"/>
        <v>0</v>
      </c>
      <c r="W15" s="29">
        <f t="shared" si="3"/>
        <v>0</v>
      </c>
      <c r="X15" s="61">
        <f t="shared" si="6"/>
        <v>0</v>
      </c>
      <c r="Y15" s="61"/>
      <c r="Z15" s="61"/>
      <c r="AA15" s="61"/>
      <c r="AB15" s="61"/>
      <c r="AC15" s="61"/>
      <c r="AD15" s="61"/>
      <c r="AE15" s="49">
        <f t="shared" si="4"/>
        <v>0</v>
      </c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49">
        <f t="shared" si="5"/>
        <v>0</v>
      </c>
    </row>
    <row r="16" spans="1:63" ht="15" customHeight="1" x14ac:dyDescent="0.2">
      <c r="A16" s="36">
        <v>5</v>
      </c>
      <c r="B16" s="59"/>
      <c r="C16" s="38"/>
      <c r="D16" s="38" t="e">
        <f>VLOOKUP(C16,Planilha1!$J$2:$L$206,3,)</f>
        <v>#N/A</v>
      </c>
      <c r="E16" s="39"/>
      <c r="F16" s="40"/>
      <c r="G16" s="49"/>
      <c r="H16" s="60">
        <f t="shared" si="0"/>
        <v>0</v>
      </c>
      <c r="I16" s="49">
        <f t="shared" si="1"/>
        <v>0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49">
        <f t="shared" si="7"/>
        <v>0</v>
      </c>
      <c r="V16" s="29">
        <f t="shared" si="2"/>
        <v>0</v>
      </c>
      <c r="W16" s="29">
        <f t="shared" si="3"/>
        <v>0</v>
      </c>
      <c r="X16" s="61">
        <f t="shared" si="6"/>
        <v>0</v>
      </c>
      <c r="Y16" s="61"/>
      <c r="Z16" s="61"/>
      <c r="AA16" s="61"/>
      <c r="AB16" s="61"/>
      <c r="AC16" s="61"/>
      <c r="AD16" s="61"/>
      <c r="AE16" s="61">
        <f t="shared" si="4"/>
        <v>0</v>
      </c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49">
        <f t="shared" si="5"/>
        <v>0</v>
      </c>
    </row>
    <row r="17" spans="1:57" ht="15" customHeight="1" x14ac:dyDescent="0.2">
      <c r="A17" s="36">
        <v>6</v>
      </c>
      <c r="B17" s="59"/>
      <c r="C17" s="38"/>
      <c r="D17" s="38" t="e">
        <f>VLOOKUP(C17,Planilha1!$J$2:$L$206,3,)</f>
        <v>#N/A</v>
      </c>
      <c r="E17" s="39"/>
      <c r="F17" s="40"/>
      <c r="G17" s="49"/>
      <c r="H17" s="60">
        <f t="shared" si="0"/>
        <v>0</v>
      </c>
      <c r="I17" s="49">
        <f t="shared" si="1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49">
        <f t="shared" si="7"/>
        <v>0</v>
      </c>
      <c r="V17" s="29">
        <f t="shared" si="2"/>
        <v>0</v>
      </c>
      <c r="W17" s="29">
        <f t="shared" si="3"/>
        <v>0</v>
      </c>
      <c r="X17" s="61">
        <f t="shared" si="6"/>
        <v>0</v>
      </c>
      <c r="Y17" s="61"/>
      <c r="Z17" s="61"/>
      <c r="AA17" s="61"/>
      <c r="AB17" s="61"/>
      <c r="AC17" s="61"/>
      <c r="AD17" s="61"/>
      <c r="AE17" s="49">
        <f t="shared" si="4"/>
        <v>0</v>
      </c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49">
        <f t="shared" si="5"/>
        <v>0</v>
      </c>
    </row>
    <row r="18" spans="1:57" ht="15" customHeight="1" x14ac:dyDescent="0.2">
      <c r="A18" s="36">
        <v>7</v>
      </c>
      <c r="B18" s="59"/>
      <c r="C18" s="38"/>
      <c r="D18" s="38" t="e">
        <f>VLOOKUP(C18,Planilha1!$J$2:$L$206,3,)</f>
        <v>#N/A</v>
      </c>
      <c r="E18" s="39"/>
      <c r="F18" s="40"/>
      <c r="G18" s="49"/>
      <c r="H18" s="60">
        <f t="shared" si="0"/>
        <v>0</v>
      </c>
      <c r="I18" s="49">
        <f t="shared" si="1"/>
        <v>0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49">
        <f t="shared" si="7"/>
        <v>0</v>
      </c>
      <c r="V18" s="29">
        <f t="shared" si="2"/>
        <v>0</v>
      </c>
      <c r="W18" s="29">
        <f t="shared" si="3"/>
        <v>0</v>
      </c>
      <c r="X18" s="61">
        <f t="shared" si="6"/>
        <v>0</v>
      </c>
      <c r="Y18" s="61"/>
      <c r="Z18" s="61"/>
      <c r="AA18" s="61"/>
      <c r="AB18" s="61"/>
      <c r="AC18" s="61"/>
      <c r="AD18" s="61"/>
      <c r="AE18" s="61">
        <f t="shared" si="4"/>
        <v>0</v>
      </c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49">
        <f t="shared" si="5"/>
        <v>0</v>
      </c>
    </row>
    <row r="19" spans="1:57" ht="15" customHeight="1" x14ac:dyDescent="0.2">
      <c r="A19" s="36">
        <v>8</v>
      </c>
      <c r="B19" s="59"/>
      <c r="C19" s="38"/>
      <c r="D19" s="38" t="e">
        <f>VLOOKUP(C19,Planilha1!$J$2:$L$206,3,)</f>
        <v>#N/A</v>
      </c>
      <c r="E19" s="39"/>
      <c r="F19" s="40"/>
      <c r="G19" s="49"/>
      <c r="H19" s="60">
        <f t="shared" si="0"/>
        <v>0</v>
      </c>
      <c r="I19" s="49">
        <f t="shared" si="1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49">
        <f t="shared" si="7"/>
        <v>0</v>
      </c>
      <c r="V19" s="29">
        <f t="shared" si="2"/>
        <v>0</v>
      </c>
      <c r="W19" s="29">
        <f t="shared" si="3"/>
        <v>0</v>
      </c>
      <c r="X19" s="61">
        <f t="shared" si="6"/>
        <v>0</v>
      </c>
      <c r="Y19" s="61"/>
      <c r="Z19" s="61"/>
      <c r="AA19" s="61"/>
      <c r="AB19" s="61"/>
      <c r="AC19" s="61"/>
      <c r="AD19" s="61"/>
      <c r="AE19" s="49">
        <f t="shared" si="4"/>
        <v>0</v>
      </c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49">
        <f t="shared" si="5"/>
        <v>0</v>
      </c>
    </row>
    <row r="20" spans="1:57" ht="15" customHeight="1" x14ac:dyDescent="0.2">
      <c r="A20" s="36">
        <v>9</v>
      </c>
      <c r="B20" s="59"/>
      <c r="C20" s="38"/>
      <c r="D20" s="38" t="e">
        <f>VLOOKUP(C20,Planilha1!$J$2:$L$206,3,)</f>
        <v>#N/A</v>
      </c>
      <c r="E20" s="39"/>
      <c r="F20" s="40"/>
      <c r="G20" s="49"/>
      <c r="H20" s="60">
        <f t="shared" si="0"/>
        <v>0</v>
      </c>
      <c r="I20" s="49">
        <f t="shared" si="1"/>
        <v>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49">
        <f t="shared" si="7"/>
        <v>0</v>
      </c>
      <c r="V20" s="29">
        <f t="shared" si="2"/>
        <v>0</v>
      </c>
      <c r="W20" s="29">
        <f t="shared" si="3"/>
        <v>0</v>
      </c>
      <c r="X20" s="61">
        <f t="shared" si="6"/>
        <v>0</v>
      </c>
      <c r="Y20" s="61"/>
      <c r="Z20" s="61"/>
      <c r="AA20" s="61"/>
      <c r="AB20" s="61"/>
      <c r="AC20" s="61"/>
      <c r="AD20" s="61"/>
      <c r="AE20" s="61">
        <f t="shared" si="4"/>
        <v>0</v>
      </c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49">
        <f t="shared" si="5"/>
        <v>0</v>
      </c>
    </row>
    <row r="21" spans="1:57" ht="15" customHeight="1" x14ac:dyDescent="0.2">
      <c r="A21" s="36">
        <v>10</v>
      </c>
      <c r="B21" s="59"/>
      <c r="C21" s="38"/>
      <c r="D21" s="38" t="e">
        <f>VLOOKUP(C21,Planilha1!$J$2:$L$206,3,)</f>
        <v>#N/A</v>
      </c>
      <c r="E21" s="39"/>
      <c r="F21" s="40"/>
      <c r="G21" s="49"/>
      <c r="H21" s="60">
        <f t="shared" si="0"/>
        <v>0</v>
      </c>
      <c r="I21" s="49">
        <f t="shared" si="1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49">
        <f t="shared" si="7"/>
        <v>0</v>
      </c>
      <c r="V21" s="29">
        <f t="shared" si="2"/>
        <v>0</v>
      </c>
      <c r="W21" s="29">
        <f t="shared" si="3"/>
        <v>0</v>
      </c>
      <c r="X21" s="61">
        <f t="shared" si="6"/>
        <v>0</v>
      </c>
      <c r="Y21" s="61"/>
      <c r="Z21" s="61"/>
      <c r="AA21" s="61"/>
      <c r="AB21" s="61"/>
      <c r="AC21" s="61"/>
      <c r="AD21" s="61"/>
      <c r="AE21" s="49">
        <f t="shared" si="4"/>
        <v>0</v>
      </c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49">
        <f t="shared" si="5"/>
        <v>0</v>
      </c>
    </row>
    <row r="22" spans="1:57" ht="15" customHeight="1" x14ac:dyDescent="0.2">
      <c r="A22" s="36">
        <v>11</v>
      </c>
      <c r="B22" s="59"/>
      <c r="C22" s="38"/>
      <c r="D22" s="38" t="e">
        <f>VLOOKUP(C22,Planilha1!$J$2:$L$206,3,)</f>
        <v>#N/A</v>
      </c>
      <c r="E22" s="39"/>
      <c r="F22" s="40"/>
      <c r="G22" s="49"/>
      <c r="H22" s="60">
        <f t="shared" si="0"/>
        <v>0</v>
      </c>
      <c r="I22" s="49">
        <f t="shared" si="1"/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49">
        <f>X22+AE22</f>
        <v>0</v>
      </c>
      <c r="V22" s="29">
        <f t="shared" si="2"/>
        <v>0</v>
      </c>
      <c r="W22" s="29">
        <f t="shared" si="3"/>
        <v>0</v>
      </c>
      <c r="X22" s="61">
        <f t="shared" si="6"/>
        <v>0</v>
      </c>
      <c r="Y22" s="61"/>
      <c r="Z22" s="61"/>
      <c r="AA22" s="61"/>
      <c r="AB22" s="61"/>
      <c r="AC22" s="61"/>
      <c r="AD22" s="61"/>
      <c r="AE22" s="61">
        <f t="shared" si="4"/>
        <v>0</v>
      </c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49">
        <f t="shared" si="5"/>
        <v>0</v>
      </c>
    </row>
    <row r="23" spans="1:57" ht="15" customHeight="1" x14ac:dyDescent="0.2">
      <c r="A23" s="36">
        <v>12</v>
      </c>
      <c r="B23" s="59"/>
      <c r="C23" s="38"/>
      <c r="D23" s="38" t="e">
        <f>VLOOKUP(C23,Planilha1!$J$2:$L$206,3,)</f>
        <v>#N/A</v>
      </c>
      <c r="E23" s="39"/>
      <c r="F23" s="40"/>
      <c r="G23" s="49"/>
      <c r="H23" s="60">
        <f t="shared" si="0"/>
        <v>0</v>
      </c>
      <c r="I23" s="49">
        <f t="shared" si="1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49">
        <f>X23+AE23</f>
        <v>0</v>
      </c>
      <c r="V23" s="29">
        <f t="shared" si="2"/>
        <v>0</v>
      </c>
      <c r="W23" s="29">
        <f t="shared" si="3"/>
        <v>0</v>
      </c>
      <c r="X23" s="61">
        <f t="shared" si="6"/>
        <v>0</v>
      </c>
      <c r="Y23" s="61"/>
      <c r="Z23" s="61"/>
      <c r="AA23" s="61"/>
      <c r="AB23" s="61"/>
      <c r="AC23" s="61"/>
      <c r="AD23" s="61"/>
      <c r="AE23" s="49">
        <f t="shared" si="4"/>
        <v>0</v>
      </c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49">
        <f t="shared" si="5"/>
        <v>0</v>
      </c>
    </row>
    <row r="24" spans="1:57" ht="15" customHeight="1" x14ac:dyDescent="0.2">
      <c r="A24" s="36">
        <v>13</v>
      </c>
      <c r="B24" s="59"/>
      <c r="C24" s="38"/>
      <c r="D24" s="38" t="e">
        <f>VLOOKUP(C24,Planilha1!$J$2:$L$206,3,)</f>
        <v>#N/A</v>
      </c>
      <c r="E24" s="39"/>
      <c r="F24" s="40"/>
      <c r="G24" s="49"/>
      <c r="H24" s="60">
        <f t="shared" si="0"/>
        <v>0</v>
      </c>
      <c r="I24" s="49">
        <f t="shared" si="1"/>
        <v>0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49">
        <f>X24+AE24</f>
        <v>0</v>
      </c>
      <c r="V24" s="29">
        <f t="shared" si="2"/>
        <v>0</v>
      </c>
      <c r="W24" s="29">
        <f t="shared" si="3"/>
        <v>0</v>
      </c>
      <c r="X24" s="61">
        <f t="shared" si="6"/>
        <v>0</v>
      </c>
      <c r="Y24" s="61"/>
      <c r="Z24" s="61"/>
      <c r="AA24" s="61"/>
      <c r="AB24" s="61"/>
      <c r="AC24" s="61"/>
      <c r="AD24" s="61"/>
      <c r="AE24" s="61">
        <f t="shared" si="4"/>
        <v>0</v>
      </c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49">
        <f t="shared" si="5"/>
        <v>0</v>
      </c>
    </row>
    <row r="25" spans="1:57" ht="15" customHeight="1" thickBot="1" x14ac:dyDescent="0.25">
      <c r="C25" s="41" t="s">
        <v>2</v>
      </c>
      <c r="D25" s="42"/>
      <c r="E25" s="43"/>
      <c r="F25" s="48">
        <f>SUM(F12:F24)</f>
        <v>0</v>
      </c>
      <c r="G25" s="44"/>
      <c r="H25" s="44">
        <f t="shared" ref="H25:U25" si="8">SUM(H12:H24)</f>
        <v>0</v>
      </c>
      <c r="I25" s="44">
        <f t="shared" si="8"/>
        <v>0</v>
      </c>
      <c r="J25" s="44">
        <f t="shared" si="8"/>
        <v>0</v>
      </c>
      <c r="K25" s="44">
        <f t="shared" si="8"/>
        <v>0</v>
      </c>
      <c r="L25" s="44">
        <f t="shared" si="8"/>
        <v>0</v>
      </c>
      <c r="M25" s="44">
        <f t="shared" si="8"/>
        <v>0</v>
      </c>
      <c r="N25" s="44">
        <f t="shared" si="8"/>
        <v>0</v>
      </c>
      <c r="O25" s="44">
        <f t="shared" si="8"/>
        <v>0</v>
      </c>
      <c r="P25" s="44">
        <f t="shared" si="8"/>
        <v>0</v>
      </c>
      <c r="Q25" s="44">
        <f t="shared" si="8"/>
        <v>0</v>
      </c>
      <c r="R25" s="44">
        <f t="shared" si="8"/>
        <v>0</v>
      </c>
      <c r="S25" s="44">
        <f t="shared" si="8"/>
        <v>0</v>
      </c>
      <c r="T25" s="44">
        <f t="shared" si="8"/>
        <v>0</v>
      </c>
      <c r="U25" s="44">
        <f t="shared" si="8"/>
        <v>0</v>
      </c>
      <c r="V25" s="45">
        <f t="shared" si="2"/>
        <v>0</v>
      </c>
      <c r="W25" s="45">
        <f t="shared" si="3"/>
        <v>0</v>
      </c>
      <c r="X25" s="44">
        <f>SUM(X12:X24)</f>
        <v>0</v>
      </c>
      <c r="Y25" s="44">
        <f>SUM(Y12:Y24)</f>
        <v>0</v>
      </c>
      <c r="Z25" s="44">
        <f>SUM(Z12:Z24)</f>
        <v>0</v>
      </c>
      <c r="AA25" s="44">
        <f t="shared" ref="AA25:AD25" si="9">SUM(AA12:AA24)</f>
        <v>0</v>
      </c>
      <c r="AB25" s="44">
        <f t="shared" si="9"/>
        <v>0</v>
      </c>
      <c r="AC25" s="44">
        <f t="shared" si="9"/>
        <v>0</v>
      </c>
      <c r="AD25" s="44">
        <f t="shared" si="9"/>
        <v>0</v>
      </c>
      <c r="AE25" s="44">
        <f t="shared" ref="AE25:BE25" si="10">SUM(AE12:AE24)</f>
        <v>0</v>
      </c>
      <c r="AF25" s="44">
        <f t="shared" si="10"/>
        <v>0</v>
      </c>
      <c r="AG25" s="44">
        <f t="shared" si="10"/>
        <v>0</v>
      </c>
      <c r="AH25" s="44">
        <f t="shared" si="10"/>
        <v>0</v>
      </c>
      <c r="AI25" s="44">
        <f t="shared" si="10"/>
        <v>0</v>
      </c>
      <c r="AJ25" s="44">
        <f t="shared" si="10"/>
        <v>0</v>
      </c>
      <c r="AK25" s="44">
        <f t="shared" si="10"/>
        <v>0</v>
      </c>
      <c r="AL25" s="44">
        <f t="shared" si="10"/>
        <v>0</v>
      </c>
      <c r="AM25" s="44">
        <f t="shared" si="10"/>
        <v>0</v>
      </c>
      <c r="AN25" s="44">
        <f t="shared" si="10"/>
        <v>0</v>
      </c>
      <c r="AO25" s="44">
        <f t="shared" si="10"/>
        <v>0</v>
      </c>
      <c r="AP25" s="44">
        <f t="shared" si="10"/>
        <v>0</v>
      </c>
      <c r="AQ25" s="44">
        <f t="shared" si="10"/>
        <v>0</v>
      </c>
      <c r="AR25" s="44">
        <f t="shared" si="10"/>
        <v>0</v>
      </c>
      <c r="AS25" s="44">
        <f t="shared" si="10"/>
        <v>0</v>
      </c>
      <c r="AT25" s="44">
        <f t="shared" si="10"/>
        <v>0</v>
      </c>
      <c r="AU25" s="44">
        <f t="shared" si="10"/>
        <v>0</v>
      </c>
      <c r="AV25" s="44">
        <f t="shared" si="10"/>
        <v>0</v>
      </c>
      <c r="AW25" s="44">
        <f t="shared" si="10"/>
        <v>0</v>
      </c>
      <c r="AX25" s="44">
        <f t="shared" si="10"/>
        <v>0</v>
      </c>
      <c r="AY25" s="44">
        <f t="shared" si="10"/>
        <v>0</v>
      </c>
      <c r="AZ25" s="44">
        <f t="shared" si="10"/>
        <v>0</v>
      </c>
      <c r="BA25" s="44">
        <f t="shared" si="10"/>
        <v>0</v>
      </c>
      <c r="BB25" s="44">
        <f t="shared" si="10"/>
        <v>0</v>
      </c>
      <c r="BC25" s="44">
        <f t="shared" si="10"/>
        <v>0</v>
      </c>
      <c r="BD25" s="44">
        <f t="shared" si="10"/>
        <v>0</v>
      </c>
      <c r="BE25" s="46">
        <f t="shared" si="10"/>
        <v>0</v>
      </c>
    </row>
    <row r="26" spans="1:57" ht="16" thickBot="1" x14ac:dyDescent="0.25">
      <c r="BA26" s="2"/>
      <c r="BB26" s="2"/>
      <c r="BC26" s="1"/>
    </row>
    <row r="27" spans="1:57" x14ac:dyDescent="0.2">
      <c r="C27" s="22" t="s">
        <v>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25"/>
    </row>
    <row r="28" spans="1:57" x14ac:dyDescent="0.2">
      <c r="C28" s="23"/>
      <c r="BE28" s="26"/>
    </row>
    <row r="29" spans="1:57" x14ac:dyDescent="0.2">
      <c r="C29" s="23"/>
      <c r="BE29" s="26"/>
    </row>
    <row r="30" spans="1:57" x14ac:dyDescent="0.2">
      <c r="C30" s="23"/>
      <c r="BE30" s="26"/>
    </row>
    <row r="31" spans="1:57" x14ac:dyDescent="0.2">
      <c r="C31" s="23" t="str">
        <f>'RELATÓRIO APROV. DE LEGÍVEIS'!C421</f>
        <v>GOIÂNIA, 01 DE SETEMBRO DE 2024</v>
      </c>
      <c r="BE31" s="26"/>
    </row>
    <row r="32" spans="1:57" ht="16" thickBot="1" x14ac:dyDescent="0.25">
      <c r="C32" s="24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27"/>
    </row>
  </sheetData>
  <autoFilter ref="A11:BE25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AD6:AO6"/>
    <mergeCell ref="C7:L7"/>
    <mergeCell ref="U7:AB7"/>
    <mergeCell ref="C10:H10"/>
    <mergeCell ref="J11:T11"/>
    <mergeCell ref="AF11:BD11"/>
    <mergeCell ref="C6:R6"/>
    <mergeCell ref="U6:AB6"/>
    <mergeCell ref="C3:R4"/>
    <mergeCell ref="U3:AB3"/>
    <mergeCell ref="U4:AB4"/>
    <mergeCell ref="C5:L5"/>
    <mergeCell ref="U5:AB5"/>
  </mergeCells>
  <conditionalFormatting sqref="H12:H24">
    <cfRule type="cellIs" dxfId="2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343B-6E17-F84F-B28E-DD29E0F2B80A}">
  <sheetPr>
    <pageSetUpPr fitToPage="1"/>
  </sheetPr>
  <dimension ref="A1:BK21"/>
  <sheetViews>
    <sheetView showGridLines="0" zoomScale="90" zoomScaleNormal="90" workbookViewId="0">
      <pane ySplit="11" topLeftCell="A12" activePane="bottomLeft" state="frozen"/>
      <selection pane="bottomLeft" activeCell="AF10" sqref="AF10:BD10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32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/>
      <c r="C12" s="37"/>
      <c r="D12" s="38">
        <v>5</v>
      </c>
      <c r="E12" s="39"/>
      <c r="F12" s="40"/>
      <c r="G12" s="49"/>
      <c r="H12" s="60">
        <f t="shared" ref="H12:H13" si="0">I12+U12</f>
        <v>0</v>
      </c>
      <c r="I12" s="49">
        <f t="shared" ref="I12:I13" si="1">SUM(J12:T12)</f>
        <v>0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49">
        <f>X12+AE12</f>
        <v>0</v>
      </c>
      <c r="V12" s="29">
        <f t="shared" ref="V12:V14" si="2">IF(H12,U12/H12,0)</f>
        <v>0</v>
      </c>
      <c r="W12" s="29">
        <f t="shared" ref="W12:W14" si="3">IF(H12,I12/H12,0)</f>
        <v>0</v>
      </c>
      <c r="X12" s="61">
        <f>SUM(Y12:AD12)</f>
        <v>0</v>
      </c>
      <c r="Y12" s="61"/>
      <c r="Z12" s="61"/>
      <c r="AA12" s="61"/>
      <c r="AB12" s="61"/>
      <c r="AC12" s="61"/>
      <c r="AD12" s="61"/>
      <c r="AE12" s="61">
        <f t="shared" ref="AE12:AE13" si="4">SUM(AF12:BD12)</f>
        <v>0</v>
      </c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49">
        <f t="shared" ref="BE12:BE13" si="5">I12+AE12</f>
        <v>0</v>
      </c>
    </row>
    <row r="13" spans="1:63" ht="15" customHeight="1" x14ac:dyDescent="0.2">
      <c r="A13" s="36">
        <v>2</v>
      </c>
      <c r="B13" s="59"/>
      <c r="C13" s="38"/>
      <c r="D13" s="38">
        <v>5</v>
      </c>
      <c r="E13" s="39"/>
      <c r="F13" s="40"/>
      <c r="G13" s="49"/>
      <c r="H13" s="60">
        <f t="shared" si="0"/>
        <v>0</v>
      </c>
      <c r="I13" s="49">
        <f t="shared" si="1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49">
        <f>X13+AE13</f>
        <v>0</v>
      </c>
      <c r="V13" s="29">
        <f t="shared" si="2"/>
        <v>0</v>
      </c>
      <c r="W13" s="29">
        <f t="shared" si="3"/>
        <v>0</v>
      </c>
      <c r="X13" s="61">
        <f t="shared" ref="X13" si="6">SUM(Y13:AD13)</f>
        <v>0</v>
      </c>
      <c r="Y13" s="61"/>
      <c r="Z13" s="61"/>
      <c r="AA13" s="61"/>
      <c r="AB13" s="61"/>
      <c r="AC13" s="61"/>
      <c r="AD13" s="61"/>
      <c r="AE13" s="49">
        <f t="shared" si="4"/>
        <v>0</v>
      </c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49">
        <f t="shared" si="5"/>
        <v>0</v>
      </c>
    </row>
    <row r="14" spans="1:63" ht="15" customHeight="1" thickBot="1" x14ac:dyDescent="0.25">
      <c r="C14" s="41" t="s">
        <v>2</v>
      </c>
      <c r="D14" s="42"/>
      <c r="E14" s="43"/>
      <c r="F14" s="48">
        <f>SUM(F12:F13)</f>
        <v>0</v>
      </c>
      <c r="G14" s="44"/>
      <c r="H14" s="44">
        <f t="shared" ref="H14:U14" si="7">SUM(H12:H13)</f>
        <v>0</v>
      </c>
      <c r="I14" s="44">
        <f t="shared" si="7"/>
        <v>0</v>
      </c>
      <c r="J14" s="44">
        <f t="shared" si="7"/>
        <v>0</v>
      </c>
      <c r="K14" s="44">
        <f t="shared" si="7"/>
        <v>0</v>
      </c>
      <c r="L14" s="44">
        <f t="shared" si="7"/>
        <v>0</v>
      </c>
      <c r="M14" s="44">
        <f t="shared" si="7"/>
        <v>0</v>
      </c>
      <c r="N14" s="44">
        <f t="shared" si="7"/>
        <v>0</v>
      </c>
      <c r="O14" s="44">
        <f t="shared" si="7"/>
        <v>0</v>
      </c>
      <c r="P14" s="44">
        <f t="shared" si="7"/>
        <v>0</v>
      </c>
      <c r="Q14" s="44">
        <f t="shared" si="7"/>
        <v>0</v>
      </c>
      <c r="R14" s="44">
        <f t="shared" si="7"/>
        <v>0</v>
      </c>
      <c r="S14" s="44">
        <f t="shared" si="7"/>
        <v>0</v>
      </c>
      <c r="T14" s="44">
        <f t="shared" si="7"/>
        <v>0</v>
      </c>
      <c r="U14" s="44">
        <f t="shared" si="7"/>
        <v>0</v>
      </c>
      <c r="V14" s="45">
        <f t="shared" si="2"/>
        <v>0</v>
      </c>
      <c r="W14" s="45">
        <f t="shared" si="3"/>
        <v>0</v>
      </c>
      <c r="X14" s="44">
        <f>SUM(X12:X13)</f>
        <v>0</v>
      </c>
      <c r="Y14" s="44">
        <f>SUM(Y12:Y13)</f>
        <v>0</v>
      </c>
      <c r="Z14" s="44">
        <f>SUM(Z12:Z13)</f>
        <v>0</v>
      </c>
      <c r="AA14" s="44">
        <f>SUM(AA12:AA13)</f>
        <v>0</v>
      </c>
      <c r="AB14" s="44">
        <f t="shared" ref="AB14:AD14" si="8">SUM(AB12:AB13)</f>
        <v>0</v>
      </c>
      <c r="AC14" s="44">
        <f t="shared" si="8"/>
        <v>0</v>
      </c>
      <c r="AD14" s="44">
        <f t="shared" si="8"/>
        <v>0</v>
      </c>
      <c r="AE14" s="44">
        <f t="shared" ref="AE14:BE14" si="9">SUM(AE12:AE13)</f>
        <v>0</v>
      </c>
      <c r="AF14" s="44">
        <f t="shared" si="9"/>
        <v>0</v>
      </c>
      <c r="AG14" s="44">
        <f t="shared" si="9"/>
        <v>0</v>
      </c>
      <c r="AH14" s="44">
        <f t="shared" si="9"/>
        <v>0</v>
      </c>
      <c r="AI14" s="44">
        <f t="shared" si="9"/>
        <v>0</v>
      </c>
      <c r="AJ14" s="44">
        <f t="shared" si="9"/>
        <v>0</v>
      </c>
      <c r="AK14" s="44">
        <f t="shared" si="9"/>
        <v>0</v>
      </c>
      <c r="AL14" s="44">
        <f t="shared" si="9"/>
        <v>0</v>
      </c>
      <c r="AM14" s="44">
        <f t="shared" si="9"/>
        <v>0</v>
      </c>
      <c r="AN14" s="44">
        <f t="shared" si="9"/>
        <v>0</v>
      </c>
      <c r="AO14" s="44">
        <f t="shared" si="9"/>
        <v>0</v>
      </c>
      <c r="AP14" s="44">
        <f t="shared" si="9"/>
        <v>0</v>
      </c>
      <c r="AQ14" s="44">
        <f t="shared" si="9"/>
        <v>0</v>
      </c>
      <c r="AR14" s="44">
        <f t="shared" si="9"/>
        <v>0</v>
      </c>
      <c r="AS14" s="44">
        <f t="shared" si="9"/>
        <v>0</v>
      </c>
      <c r="AT14" s="44">
        <f t="shared" si="9"/>
        <v>0</v>
      </c>
      <c r="AU14" s="44">
        <f t="shared" si="9"/>
        <v>0</v>
      </c>
      <c r="AV14" s="44">
        <f t="shared" si="9"/>
        <v>0</v>
      </c>
      <c r="AW14" s="44">
        <f t="shared" si="9"/>
        <v>0</v>
      </c>
      <c r="AX14" s="44">
        <f t="shared" si="9"/>
        <v>0</v>
      </c>
      <c r="AY14" s="44">
        <f t="shared" si="9"/>
        <v>0</v>
      </c>
      <c r="AZ14" s="44">
        <f t="shared" si="9"/>
        <v>0</v>
      </c>
      <c r="BA14" s="44">
        <f t="shared" si="9"/>
        <v>0</v>
      </c>
      <c r="BB14" s="44">
        <f t="shared" si="9"/>
        <v>0</v>
      </c>
      <c r="BC14" s="44">
        <f t="shared" si="9"/>
        <v>0</v>
      </c>
      <c r="BD14" s="44">
        <f t="shared" si="9"/>
        <v>0</v>
      </c>
      <c r="BE14" s="46">
        <f t="shared" si="9"/>
        <v>0</v>
      </c>
    </row>
    <row r="15" spans="1:63" ht="16" thickBot="1" x14ac:dyDescent="0.25">
      <c r="BA15" s="2"/>
      <c r="BB15" s="2"/>
      <c r="BC15" s="1"/>
    </row>
    <row r="16" spans="1:63" x14ac:dyDescent="0.2">
      <c r="C16" s="22" t="s">
        <v>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25"/>
    </row>
    <row r="17" spans="3:57" x14ac:dyDescent="0.2">
      <c r="C17" s="23"/>
      <c r="BE17" s="26"/>
    </row>
    <row r="18" spans="3:57" x14ac:dyDescent="0.2">
      <c r="C18" s="23"/>
      <c r="BE18" s="26"/>
    </row>
    <row r="19" spans="3:57" x14ac:dyDescent="0.2">
      <c r="C19" s="23"/>
      <c r="BE19" s="26"/>
    </row>
    <row r="20" spans="3:57" x14ac:dyDescent="0.2">
      <c r="C20" s="23" t="str">
        <f>'RELATÓRIO APROV. DE LEGÍVEIS'!C421</f>
        <v>GOIÂNIA, 01 DE SETEMBRO DE 2024</v>
      </c>
      <c r="BE20" s="26"/>
    </row>
    <row r="21" spans="3:57" ht="16" thickBot="1" x14ac:dyDescent="0.25">
      <c r="C21" s="24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27"/>
    </row>
  </sheetData>
  <autoFilter ref="A11:BE14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AD6:AO6"/>
    <mergeCell ref="C7:L7"/>
    <mergeCell ref="U7:AB7"/>
    <mergeCell ref="C10:H10"/>
    <mergeCell ref="J11:T11"/>
    <mergeCell ref="AF11:BD11"/>
    <mergeCell ref="C6:R6"/>
    <mergeCell ref="U6:AB6"/>
    <mergeCell ref="C3:R4"/>
    <mergeCell ref="U3:AB3"/>
    <mergeCell ref="U4:AB4"/>
    <mergeCell ref="C5:L5"/>
    <mergeCell ref="U5:AB5"/>
  </mergeCells>
  <conditionalFormatting sqref="H12:H13">
    <cfRule type="cellIs" dxfId="1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2D11-4F8D-694A-AB0C-FC0D0FCD8E48}">
  <sheetPr>
    <pageSetUpPr fitToPage="1"/>
  </sheetPr>
  <dimension ref="A1:BK87"/>
  <sheetViews>
    <sheetView showGridLines="0" zoomScale="90" zoomScaleNormal="90" workbookViewId="0">
      <pane ySplit="11" topLeftCell="A12" activePane="bottomLeft" state="frozen"/>
      <selection pane="bottomLeft" activeCell="Y26" sqref="Y26"/>
    </sheetView>
  </sheetViews>
  <sheetFormatPr baseColWidth="10" defaultColWidth="8.83203125" defaultRowHeight="15" x14ac:dyDescent="0.2"/>
  <cols>
    <col min="1" max="1" width="4.83203125" customWidth="1"/>
    <col min="2" max="2" width="50.1640625" customWidth="1"/>
    <col min="3" max="3" width="13.5" customWidth="1"/>
    <col min="4" max="4" width="8.33203125" customWidth="1"/>
    <col min="5" max="5" width="11.6640625" bestFit="1" customWidth="1"/>
    <col min="6" max="9" width="9.6640625" customWidth="1"/>
    <col min="10" max="10" width="5" customWidth="1"/>
    <col min="11" max="11" width="4.33203125" customWidth="1"/>
    <col min="12" max="12" width="5" bestFit="1" customWidth="1"/>
    <col min="13" max="17" width="5" customWidth="1"/>
    <col min="18" max="18" width="5" bestFit="1" customWidth="1"/>
    <col min="19" max="19" width="5.5" customWidth="1"/>
    <col min="20" max="20" width="4.83203125" customWidth="1"/>
    <col min="21" max="30" width="9" customWidth="1"/>
    <col min="31" max="31" width="13.5" bestFit="1" customWidth="1"/>
    <col min="32" max="56" width="4.1640625" customWidth="1"/>
    <col min="57" max="57" width="8.6640625" customWidth="1"/>
    <col min="58" max="58" width="13" customWidth="1"/>
    <col min="64" max="64" width="12" bestFit="1" customWidth="1"/>
  </cols>
  <sheetData>
    <row r="1" spans="1:63" ht="24" customHeight="1" x14ac:dyDescent="0.2">
      <c r="A1" s="22"/>
      <c r="B1" s="18"/>
      <c r="C1" s="15" t="str">
        <f>'RELATÓRIO APROV. DE LEGÍVEIS'!C1</f>
        <v>MEDIÇÃO DE SERVIÇOS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8"/>
      <c r="T1" s="18"/>
      <c r="U1" s="18"/>
      <c r="V1" s="18"/>
      <c r="W1" s="18"/>
      <c r="X1" s="18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/>
      <c r="BF1" s="10"/>
      <c r="BG1" s="10"/>
      <c r="BH1" s="10"/>
      <c r="BI1" s="10"/>
      <c r="BJ1" s="10"/>
      <c r="BK1" s="10"/>
    </row>
    <row r="2" spans="1:63" ht="24" customHeight="1" x14ac:dyDescent="0.2">
      <c r="A2" s="23"/>
      <c r="C2" s="10" t="str">
        <f>'RELATÓRIO APROV. DE LEGÍVEIS'!C2</f>
        <v xml:space="preserve">Pregão Eletrônico Nº 90007/2024 - Processo nº 23.13.000003872-9 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4"/>
      <c r="BF2" s="10"/>
      <c r="BG2" s="10"/>
      <c r="BH2" s="10"/>
      <c r="BI2" s="10"/>
      <c r="BJ2" s="10"/>
      <c r="BK2" s="10"/>
    </row>
    <row r="3" spans="1:63" ht="24" customHeight="1" x14ac:dyDescent="0.2">
      <c r="A3" s="23"/>
      <c r="C3" s="68" t="str">
        <f>'RELATÓRIO APROV. DE LEGÍVEIS'!C3</f>
        <v>OBRA: Contratação de empresa para para fornecimento de equipamentos novos e sem uso e de
sistemas voltados à segurança global das vias sob circunscrição da Secretaria Municipal de
Mobilidade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U3" s="70" t="str">
        <f>'RELATÓRIO APROV. DE LEGÍVEIS'!U3</f>
        <v>Consórcio Anhanguera Segurança</v>
      </c>
      <c r="V3" s="71"/>
      <c r="W3" s="71"/>
      <c r="X3" s="71"/>
      <c r="Y3" s="71"/>
      <c r="Z3" s="71"/>
      <c r="AA3" s="71"/>
      <c r="AB3" s="71"/>
      <c r="AC3" s="10"/>
      <c r="AD3" s="10"/>
      <c r="AE3" s="10"/>
      <c r="AF3" s="10"/>
      <c r="AP3" s="13"/>
      <c r="AQ3" s="13"/>
      <c r="AR3" s="13"/>
      <c r="AS3" s="13"/>
      <c r="AT3" s="13"/>
      <c r="AU3" s="13"/>
      <c r="AV3" s="13"/>
      <c r="AW3" s="13"/>
      <c r="AX3" s="9" t="str">
        <f>'RELATÓRIO APROV. DE LEGÍVEIS'!AX3</f>
        <v>CONTRATO NÚMERO: 018/2024</v>
      </c>
      <c r="AY3" s="9"/>
      <c r="AZ3" s="9"/>
      <c r="BA3" s="9"/>
      <c r="BB3" s="9"/>
      <c r="BC3" s="9"/>
      <c r="BD3" s="9"/>
      <c r="BE3" s="14"/>
      <c r="BF3" s="10"/>
      <c r="BG3" s="10"/>
      <c r="BH3" s="10"/>
      <c r="BI3" s="10"/>
      <c r="BJ3" s="10"/>
      <c r="BK3" s="10"/>
    </row>
    <row r="4" spans="1:63" ht="24" customHeight="1" x14ac:dyDescent="0.2">
      <c r="A4" s="23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U4" s="70" t="str">
        <f>'RELATÓRIO APROV. DE LEGÍVEIS'!U4</f>
        <v>Rua Itu, S/N, QD 03 LT 1-E, Sl 1001/1002, Torre 2, Edif. B E B Business, Vl Brasília</v>
      </c>
      <c r="V4" s="71"/>
      <c r="W4" s="71"/>
      <c r="X4" s="71"/>
      <c r="Y4" s="71"/>
      <c r="Z4" s="71"/>
      <c r="AA4" s="71"/>
      <c r="AB4" s="71"/>
      <c r="AD4" s="9" t="str">
        <f>'RELATÓRIO APROV. DE LEGÍVEIS'!AD4</f>
        <v>MÊS DE REFERÊNCIA: Abril de 2025</v>
      </c>
      <c r="AE4" s="9"/>
      <c r="AF4" s="9"/>
      <c r="AG4" s="9"/>
      <c r="AH4" s="9"/>
      <c r="AP4" s="13"/>
      <c r="AQ4" s="13"/>
      <c r="AR4" s="13"/>
      <c r="AS4" s="13"/>
      <c r="AT4" s="13"/>
      <c r="AU4" s="13"/>
      <c r="AV4" s="13"/>
      <c r="AW4" s="13"/>
      <c r="AX4" s="9" t="str">
        <f>'RELATÓRIO APROV. DE LEGÍVEIS'!AX4</f>
        <v>DATA DA ASSINATURA: 19/12/2024</v>
      </c>
      <c r="AY4" s="9"/>
      <c r="AZ4" s="9"/>
      <c r="BA4" s="9"/>
      <c r="BB4" s="9"/>
      <c r="BC4" s="9"/>
      <c r="BD4" s="9"/>
      <c r="BE4" s="14"/>
      <c r="BF4" s="10"/>
      <c r="BG4" s="10"/>
      <c r="BH4" s="10"/>
      <c r="BI4" s="10"/>
      <c r="BJ4" s="10"/>
      <c r="BK4" s="10"/>
    </row>
    <row r="5" spans="1:63" ht="24" customHeight="1" x14ac:dyDescent="0.2">
      <c r="A5" s="23"/>
      <c r="C5" s="69" t="str">
        <f>'RELATÓRIO APROV. DE LEGÍVEIS'!C5</f>
        <v>LOCAL: Diversas vias do Município de Goiânia</v>
      </c>
      <c r="D5" s="69"/>
      <c r="E5" s="69"/>
      <c r="F5" s="69"/>
      <c r="G5" s="69"/>
      <c r="H5" s="69"/>
      <c r="I5" s="69"/>
      <c r="J5" s="69"/>
      <c r="K5" s="69"/>
      <c r="L5" s="69"/>
      <c r="M5" s="67"/>
      <c r="N5" s="67"/>
      <c r="O5" s="67"/>
      <c r="P5" s="67"/>
      <c r="Q5" s="67"/>
      <c r="R5" s="9"/>
      <c r="U5" s="70" t="str">
        <f>'RELATÓRIO APROV. DE LEGÍVEIS'!U5</f>
        <v>Aparecida de Goiânia - CEP 74.911-810</v>
      </c>
      <c r="V5" s="71"/>
      <c r="W5" s="71"/>
      <c r="X5" s="71"/>
      <c r="Y5" s="71"/>
      <c r="Z5" s="71"/>
      <c r="AA5" s="71"/>
      <c r="AB5" s="71"/>
      <c r="AD5" s="9" t="str">
        <f>'RELATÓRIO APROV. DE LEGÍVEIS'!AD5</f>
        <v>NÚMERO DA MEDIÇÃO: 002</v>
      </c>
      <c r="AE5" s="9"/>
      <c r="AF5" s="9"/>
      <c r="AG5" s="9"/>
      <c r="AH5" s="9"/>
      <c r="AP5" s="13"/>
      <c r="AQ5" s="13"/>
      <c r="AR5" s="13"/>
      <c r="AS5" s="13"/>
      <c r="AT5" s="13"/>
      <c r="AU5" s="13"/>
      <c r="AV5" s="13"/>
      <c r="AW5" s="13"/>
      <c r="AX5" s="9" t="str">
        <f>'RELATÓRIO APROV. DE LEGÍVEIS'!AX5</f>
        <v>PROCESSO SEI MÃE: 23.13.000003872-9</v>
      </c>
      <c r="AY5" s="9"/>
      <c r="AZ5" s="9"/>
      <c r="BA5" s="9"/>
      <c r="BB5" s="9"/>
      <c r="BC5" s="9"/>
      <c r="BD5" s="13"/>
      <c r="BE5" s="14"/>
      <c r="BF5" s="10"/>
      <c r="BG5" s="10"/>
      <c r="BH5" s="10"/>
      <c r="BI5" s="10"/>
      <c r="BJ5" s="10"/>
      <c r="BK5" s="10"/>
    </row>
    <row r="6" spans="1:63" ht="24" customHeight="1" x14ac:dyDescent="0.2">
      <c r="A6" s="23"/>
      <c r="C6" s="69" t="str">
        <f>'RELATÓRIO APROV. DE LEGÍVEIS'!C6</f>
        <v>PRAZO DE EXECUÇÃO DOS SERVIÇOS: 60 Meses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U6" s="70" t="str">
        <f>'RELATÓRIO APROV. DE LEGÍVEIS'!U6</f>
        <v>CNPJ: 58.516.417/0001-91</v>
      </c>
      <c r="V6" s="71"/>
      <c r="W6" s="71"/>
      <c r="X6" s="71"/>
      <c r="Y6" s="71"/>
      <c r="Z6" s="71"/>
      <c r="AA6" s="71"/>
      <c r="AB6" s="71"/>
      <c r="AD6" s="69" t="str">
        <f>'RELATÓRIO APROV. DE LEGÍVEIS'!AD6</f>
        <v>CONTRATADA: CONSÓRCIO ANHANGUERA SEGURANÇA</v>
      </c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13"/>
      <c r="AQ6" s="13"/>
      <c r="AR6" s="13"/>
      <c r="AS6" s="13"/>
      <c r="AT6" s="13"/>
      <c r="AU6" s="13"/>
      <c r="AV6" s="13"/>
      <c r="AW6" s="13"/>
      <c r="AX6" s="9" t="str">
        <f>'RELATÓRIO APROV. DE LEGÍVEIS'!AX6</f>
        <v xml:space="preserve">PROCESSO SEI: 24.13.000008566-8 </v>
      </c>
      <c r="AY6" s="9"/>
      <c r="AZ6" s="9"/>
      <c r="BA6" s="9"/>
      <c r="BB6" s="9"/>
      <c r="BC6" s="9"/>
      <c r="BD6" s="13"/>
      <c r="BE6" s="14"/>
      <c r="BF6" s="10"/>
      <c r="BG6" s="10"/>
      <c r="BH6" s="10"/>
      <c r="BI6" s="10"/>
      <c r="BJ6" s="10"/>
      <c r="BK6" s="10"/>
    </row>
    <row r="7" spans="1:63" ht="24" customHeight="1" thickBot="1" x14ac:dyDescent="0.25">
      <c r="A7" s="24"/>
      <c r="B7" s="17"/>
      <c r="C7" s="72" t="str">
        <f>'RELATÓRIO APROV. DE LEGÍVEIS'!C7</f>
        <v>DATA DA ORDEM DE SERVIÇO: 19/12/2024</v>
      </c>
      <c r="D7" s="72"/>
      <c r="E7" s="72"/>
      <c r="F7" s="72"/>
      <c r="G7" s="72"/>
      <c r="H7" s="72"/>
      <c r="I7" s="72"/>
      <c r="J7" s="72"/>
      <c r="K7" s="72"/>
      <c r="L7" s="72"/>
      <c r="M7" s="66"/>
      <c r="N7" s="66"/>
      <c r="O7" s="66"/>
      <c r="P7" s="66"/>
      <c r="Q7" s="66"/>
      <c r="R7" s="16"/>
      <c r="S7" s="19"/>
      <c r="T7" s="19"/>
      <c r="U7" s="77" t="str">
        <f>'RELATÓRIO APROV. DE LEGÍVEIS'!U7</f>
        <v>E-MAIL: comercial@laborengenharia.com</v>
      </c>
      <c r="V7" s="78"/>
      <c r="W7" s="78"/>
      <c r="X7" s="78"/>
      <c r="Y7" s="78"/>
      <c r="Z7" s="78"/>
      <c r="AA7" s="78"/>
      <c r="AB7" s="78"/>
      <c r="AC7" s="16"/>
      <c r="AD7" s="16"/>
      <c r="AE7" s="16"/>
      <c r="AF7" s="16"/>
      <c r="AG7" s="17"/>
      <c r="AH7" s="16"/>
      <c r="AI7" s="16"/>
      <c r="AJ7" s="16"/>
      <c r="AK7" s="16"/>
      <c r="AL7" s="16"/>
      <c r="AM7" s="16"/>
      <c r="AN7" s="16"/>
      <c r="AO7" s="16"/>
      <c r="AP7" s="20"/>
      <c r="AQ7" s="20"/>
      <c r="AR7" s="20"/>
      <c r="AS7" s="20"/>
      <c r="AT7" s="20"/>
      <c r="AU7" s="20"/>
      <c r="AV7" s="20"/>
      <c r="AW7" s="20"/>
      <c r="AX7" s="30"/>
      <c r="AY7" s="20"/>
      <c r="AZ7" s="20"/>
      <c r="BA7" s="20"/>
      <c r="BB7" s="20"/>
      <c r="BC7" s="20"/>
      <c r="BD7" s="20"/>
      <c r="BE7" s="21"/>
      <c r="BF7" s="10"/>
      <c r="BG7" s="10"/>
      <c r="BH7" s="10"/>
      <c r="BI7" s="10"/>
      <c r="BJ7" s="10"/>
      <c r="BK7" s="10"/>
    </row>
    <row r="8" spans="1:63" ht="19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0"/>
      <c r="BG8" s="10"/>
      <c r="BH8" s="10"/>
      <c r="BI8" s="10"/>
      <c r="BJ8" s="10"/>
      <c r="BK8" s="10"/>
    </row>
    <row r="9" spans="1:63" ht="16" thickBot="1" x14ac:dyDescent="0.25">
      <c r="BE9" s="2"/>
      <c r="BF9" s="1"/>
    </row>
    <row r="10" spans="1:63" ht="217.5" customHeight="1" thickBot="1" x14ac:dyDescent="0.25">
      <c r="B10" s="54"/>
      <c r="C10" s="75" t="s">
        <v>33</v>
      </c>
      <c r="D10" s="75"/>
      <c r="E10" s="76"/>
      <c r="F10" s="75"/>
      <c r="G10" s="75"/>
      <c r="H10" s="75"/>
      <c r="J10" s="8" t="s">
        <v>82</v>
      </c>
      <c r="K10" s="8" t="s">
        <v>83</v>
      </c>
      <c r="L10" s="8" t="s">
        <v>48</v>
      </c>
      <c r="M10" s="8" t="s">
        <v>20</v>
      </c>
      <c r="N10" s="8" t="s">
        <v>84</v>
      </c>
      <c r="O10" s="8" t="s">
        <v>50</v>
      </c>
      <c r="P10" s="8" t="s">
        <v>21</v>
      </c>
      <c r="Q10" s="8" t="s">
        <v>51</v>
      </c>
      <c r="R10" s="8" t="s">
        <v>85</v>
      </c>
      <c r="S10" s="8" t="s">
        <v>86</v>
      </c>
      <c r="T10" s="8" t="s">
        <v>49</v>
      </c>
      <c r="AF10" s="3" t="s">
        <v>377</v>
      </c>
      <c r="AG10" s="3" t="s">
        <v>60</v>
      </c>
      <c r="AH10" s="3" t="s">
        <v>378</v>
      </c>
      <c r="AI10" s="3" t="s">
        <v>379</v>
      </c>
      <c r="AJ10" s="3" t="s">
        <v>380</v>
      </c>
      <c r="AK10" s="3" t="s">
        <v>381</v>
      </c>
      <c r="AL10" s="3" t="s">
        <v>52</v>
      </c>
      <c r="AM10" s="3" t="s">
        <v>382</v>
      </c>
      <c r="AN10" s="3" t="s">
        <v>383</v>
      </c>
      <c r="AO10" s="3" t="s">
        <v>22</v>
      </c>
      <c r="AP10" s="3" t="s">
        <v>384</v>
      </c>
      <c r="AQ10" s="3" t="s">
        <v>53</v>
      </c>
      <c r="AR10" s="3" t="s">
        <v>385</v>
      </c>
      <c r="AS10" s="3" t="s">
        <v>386</v>
      </c>
      <c r="AT10" s="3" t="s">
        <v>54</v>
      </c>
      <c r="AU10" s="3" t="s">
        <v>55</v>
      </c>
      <c r="AV10" s="3" t="s">
        <v>387</v>
      </c>
      <c r="AW10" s="3" t="s">
        <v>23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388</v>
      </c>
      <c r="BC10" s="3" t="s">
        <v>389</v>
      </c>
      <c r="BD10" s="3" t="s">
        <v>390</v>
      </c>
    </row>
    <row r="11" spans="1:63" x14ac:dyDescent="0.2">
      <c r="A11" s="4"/>
      <c r="B11" s="7" t="s">
        <v>17</v>
      </c>
      <c r="C11" s="55" t="s">
        <v>11</v>
      </c>
      <c r="D11" s="56" t="s">
        <v>12</v>
      </c>
      <c r="E11" s="57" t="s">
        <v>40</v>
      </c>
      <c r="F11" s="28" t="s">
        <v>7</v>
      </c>
      <c r="G11" s="5" t="s">
        <v>19</v>
      </c>
      <c r="H11" s="6" t="s">
        <v>3</v>
      </c>
      <c r="I11" s="5" t="s">
        <v>15</v>
      </c>
      <c r="J11" s="73" t="s">
        <v>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5" t="s">
        <v>16</v>
      </c>
      <c r="V11" s="6" t="s">
        <v>10</v>
      </c>
      <c r="W11" s="6" t="s">
        <v>18</v>
      </c>
      <c r="X11" s="5" t="s">
        <v>1</v>
      </c>
      <c r="Y11" s="5">
        <v>56732</v>
      </c>
      <c r="Z11" s="5">
        <v>60503</v>
      </c>
      <c r="AA11" s="5">
        <v>74550</v>
      </c>
      <c r="AB11" s="5">
        <v>74630</v>
      </c>
      <c r="AC11" s="28">
        <v>74710</v>
      </c>
      <c r="AD11" s="28">
        <v>75870</v>
      </c>
      <c r="AE11" s="28" t="s">
        <v>6</v>
      </c>
      <c r="AF11" s="73" t="s">
        <v>5</v>
      </c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" t="s">
        <v>0</v>
      </c>
    </row>
    <row r="12" spans="1:63" ht="15" customHeight="1" x14ac:dyDescent="0.2">
      <c r="A12" s="36">
        <v>1</v>
      </c>
      <c r="B12" s="58"/>
      <c r="C12" s="37"/>
      <c r="D12" s="38">
        <v>6</v>
      </c>
      <c r="E12" s="39"/>
      <c r="F12" s="40"/>
      <c r="G12" s="49"/>
      <c r="H12" s="60">
        <f t="shared" ref="H12:H14" si="0">I12+U12</f>
        <v>0</v>
      </c>
      <c r="I12" s="49">
        <f t="shared" ref="I12:I14" si="1">SUM(J12:T12)</f>
        <v>0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49">
        <f>X12+AE12</f>
        <v>0</v>
      </c>
      <c r="V12" s="29">
        <f t="shared" ref="V12:V80" si="2">IF(H12,U12/H12,0)</f>
        <v>0</v>
      </c>
      <c r="W12" s="29">
        <f t="shared" ref="W12:W80" si="3">IF(H12,I12/H12,0)</f>
        <v>0</v>
      </c>
      <c r="X12" s="61">
        <f>SUM(Y12:AD12)</f>
        <v>0</v>
      </c>
      <c r="Y12" s="61"/>
      <c r="Z12" s="61"/>
      <c r="AA12" s="61"/>
      <c r="AB12" s="61"/>
      <c r="AC12" s="61"/>
      <c r="AD12" s="61"/>
      <c r="AE12" s="61">
        <f t="shared" ref="AE12:AE14" si="4">SUM(AF12:BD12)</f>
        <v>0</v>
      </c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49">
        <f t="shared" ref="BE12:BE14" si="5">I12+AE12</f>
        <v>0</v>
      </c>
    </row>
    <row r="13" spans="1:63" ht="15" customHeight="1" x14ac:dyDescent="0.2">
      <c r="A13" s="36">
        <v>2</v>
      </c>
      <c r="B13" s="59"/>
      <c r="C13" s="38"/>
      <c r="D13" s="38">
        <v>6</v>
      </c>
      <c r="E13" s="39"/>
      <c r="F13" s="40"/>
      <c r="G13" s="49"/>
      <c r="H13" s="60">
        <f t="shared" si="0"/>
        <v>0</v>
      </c>
      <c r="I13" s="49">
        <f t="shared" si="1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49">
        <f>X13+AE13</f>
        <v>0</v>
      </c>
      <c r="V13" s="29">
        <f t="shared" si="2"/>
        <v>0</v>
      </c>
      <c r="W13" s="29">
        <f t="shared" si="3"/>
        <v>0</v>
      </c>
      <c r="X13" s="61">
        <f t="shared" ref="X13:X14" si="6">SUM(Y13:AD13)</f>
        <v>0</v>
      </c>
      <c r="Y13" s="61"/>
      <c r="Z13" s="61"/>
      <c r="AA13" s="61"/>
      <c r="AB13" s="61"/>
      <c r="AC13" s="61"/>
      <c r="AD13" s="61"/>
      <c r="AE13" s="49">
        <f t="shared" si="4"/>
        <v>0</v>
      </c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49">
        <f t="shared" si="5"/>
        <v>0</v>
      </c>
    </row>
    <row r="14" spans="1:63" ht="15" customHeight="1" x14ac:dyDescent="0.2">
      <c r="A14" s="36">
        <v>3</v>
      </c>
      <c r="B14" s="59"/>
      <c r="C14" s="38"/>
      <c r="D14" s="38">
        <v>6</v>
      </c>
      <c r="E14" s="39"/>
      <c r="F14" s="40"/>
      <c r="G14" s="49"/>
      <c r="H14" s="60">
        <f t="shared" si="0"/>
        <v>0</v>
      </c>
      <c r="I14" s="49">
        <f t="shared" si="1"/>
        <v>0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49">
        <f>X14+AE14</f>
        <v>0</v>
      </c>
      <c r="V14" s="29">
        <f t="shared" si="2"/>
        <v>0</v>
      </c>
      <c r="W14" s="29">
        <f t="shared" si="3"/>
        <v>0</v>
      </c>
      <c r="X14" s="61">
        <f t="shared" si="6"/>
        <v>0</v>
      </c>
      <c r="Y14" s="61"/>
      <c r="Z14" s="61"/>
      <c r="AA14" s="61"/>
      <c r="AB14" s="61"/>
      <c r="AC14" s="61"/>
      <c r="AD14" s="61"/>
      <c r="AE14" s="61">
        <f t="shared" si="4"/>
        <v>0</v>
      </c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49">
        <f t="shared" si="5"/>
        <v>0</v>
      </c>
    </row>
    <row r="15" spans="1:63" ht="15" customHeight="1" x14ac:dyDescent="0.2">
      <c r="A15" s="36">
        <v>4</v>
      </c>
      <c r="B15" s="59"/>
      <c r="C15" s="38"/>
      <c r="D15" s="38">
        <v>6</v>
      </c>
      <c r="E15" s="39"/>
      <c r="F15" s="40"/>
      <c r="G15" s="49"/>
      <c r="H15" s="60">
        <f t="shared" ref="H15:H78" si="7">I15+U15</f>
        <v>0</v>
      </c>
      <c r="I15" s="49">
        <f t="shared" ref="I15:I78" si="8">SUM(J15:T15)</f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49">
        <f t="shared" ref="U15:U78" si="9">X15+AE15</f>
        <v>0</v>
      </c>
      <c r="V15" s="29">
        <f t="shared" ref="V15:V78" si="10">IF(H15,U15/H15,0)</f>
        <v>0</v>
      </c>
      <c r="W15" s="29">
        <f t="shared" ref="W15:W78" si="11">IF(H15,I15/H15,0)</f>
        <v>0</v>
      </c>
      <c r="X15" s="61">
        <f t="shared" ref="X15:X78" si="12">SUM(Y15:AD15)</f>
        <v>0</v>
      </c>
      <c r="Y15" s="61"/>
      <c r="Z15" s="61"/>
      <c r="AA15" s="61"/>
      <c r="AB15" s="61"/>
      <c r="AC15" s="61"/>
      <c r="AD15" s="61"/>
      <c r="AE15" s="49">
        <f t="shared" ref="AE15:AE78" si="13">SUM(AF15:BD15)</f>
        <v>0</v>
      </c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49">
        <f t="shared" ref="BE15:BE78" si="14">I15+AE15</f>
        <v>0</v>
      </c>
    </row>
    <row r="16" spans="1:63" ht="15" customHeight="1" x14ac:dyDescent="0.2">
      <c r="A16" s="36">
        <v>5</v>
      </c>
      <c r="B16" s="59"/>
      <c r="C16" s="38"/>
      <c r="D16" s="38">
        <v>6</v>
      </c>
      <c r="E16" s="39"/>
      <c r="F16" s="40"/>
      <c r="G16" s="49"/>
      <c r="H16" s="60">
        <f t="shared" si="7"/>
        <v>0</v>
      </c>
      <c r="I16" s="49">
        <f t="shared" si="8"/>
        <v>0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49">
        <f t="shared" si="9"/>
        <v>0</v>
      </c>
      <c r="V16" s="29">
        <f t="shared" si="10"/>
        <v>0</v>
      </c>
      <c r="W16" s="29">
        <f t="shared" si="11"/>
        <v>0</v>
      </c>
      <c r="X16" s="61">
        <f t="shared" si="12"/>
        <v>0</v>
      </c>
      <c r="Y16" s="61"/>
      <c r="Z16" s="61"/>
      <c r="AA16" s="61"/>
      <c r="AB16" s="61"/>
      <c r="AC16" s="61"/>
      <c r="AD16" s="61"/>
      <c r="AE16" s="61">
        <f t="shared" si="13"/>
        <v>0</v>
      </c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49">
        <f t="shared" si="14"/>
        <v>0</v>
      </c>
    </row>
    <row r="17" spans="1:57" ht="15" customHeight="1" x14ac:dyDescent="0.2">
      <c r="A17" s="36">
        <v>6</v>
      </c>
      <c r="B17" s="59"/>
      <c r="C17" s="38"/>
      <c r="D17" s="38">
        <v>6</v>
      </c>
      <c r="E17" s="39"/>
      <c r="F17" s="40"/>
      <c r="G17" s="49"/>
      <c r="H17" s="60">
        <f t="shared" si="7"/>
        <v>0</v>
      </c>
      <c r="I17" s="49">
        <f t="shared" si="8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49">
        <f t="shared" si="9"/>
        <v>0</v>
      </c>
      <c r="V17" s="29">
        <f t="shared" si="10"/>
        <v>0</v>
      </c>
      <c r="W17" s="29">
        <f t="shared" si="11"/>
        <v>0</v>
      </c>
      <c r="X17" s="61">
        <f t="shared" si="12"/>
        <v>0</v>
      </c>
      <c r="Y17" s="61"/>
      <c r="Z17" s="61"/>
      <c r="AA17" s="61"/>
      <c r="AB17" s="61"/>
      <c r="AC17" s="61"/>
      <c r="AD17" s="61"/>
      <c r="AE17" s="49">
        <f t="shared" si="13"/>
        <v>0</v>
      </c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49">
        <f t="shared" si="14"/>
        <v>0</v>
      </c>
    </row>
    <row r="18" spans="1:57" ht="15" customHeight="1" x14ac:dyDescent="0.2">
      <c r="A18" s="36">
        <v>7</v>
      </c>
      <c r="B18" s="59"/>
      <c r="C18" s="38"/>
      <c r="D18" s="38">
        <v>6</v>
      </c>
      <c r="E18" s="39"/>
      <c r="F18" s="40"/>
      <c r="G18" s="49"/>
      <c r="H18" s="60">
        <f t="shared" si="7"/>
        <v>0</v>
      </c>
      <c r="I18" s="49">
        <f t="shared" si="8"/>
        <v>0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49">
        <f t="shared" si="9"/>
        <v>0</v>
      </c>
      <c r="V18" s="29">
        <f t="shared" si="10"/>
        <v>0</v>
      </c>
      <c r="W18" s="29">
        <f t="shared" si="11"/>
        <v>0</v>
      </c>
      <c r="X18" s="61">
        <f t="shared" si="12"/>
        <v>0</v>
      </c>
      <c r="Y18" s="61"/>
      <c r="Z18" s="61"/>
      <c r="AA18" s="61"/>
      <c r="AB18" s="61"/>
      <c r="AC18" s="61"/>
      <c r="AD18" s="61"/>
      <c r="AE18" s="61">
        <f t="shared" si="13"/>
        <v>0</v>
      </c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49">
        <f t="shared" si="14"/>
        <v>0</v>
      </c>
    </row>
    <row r="19" spans="1:57" ht="15" customHeight="1" x14ac:dyDescent="0.2">
      <c r="A19" s="36">
        <v>8</v>
      </c>
      <c r="B19" s="59"/>
      <c r="C19" s="38"/>
      <c r="D19" s="38">
        <v>6</v>
      </c>
      <c r="E19" s="39"/>
      <c r="F19" s="40"/>
      <c r="G19" s="49"/>
      <c r="H19" s="60">
        <f t="shared" si="7"/>
        <v>0</v>
      </c>
      <c r="I19" s="49">
        <f t="shared" si="8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49">
        <f t="shared" si="9"/>
        <v>0</v>
      </c>
      <c r="V19" s="29">
        <f t="shared" si="10"/>
        <v>0</v>
      </c>
      <c r="W19" s="29">
        <f t="shared" si="11"/>
        <v>0</v>
      </c>
      <c r="X19" s="61">
        <f t="shared" si="12"/>
        <v>0</v>
      </c>
      <c r="Y19" s="61"/>
      <c r="Z19" s="61"/>
      <c r="AA19" s="61"/>
      <c r="AB19" s="61"/>
      <c r="AC19" s="61"/>
      <c r="AD19" s="61"/>
      <c r="AE19" s="49">
        <f t="shared" si="13"/>
        <v>0</v>
      </c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49">
        <f t="shared" si="14"/>
        <v>0</v>
      </c>
    </row>
    <row r="20" spans="1:57" ht="15" customHeight="1" x14ac:dyDescent="0.2">
      <c r="A20" s="36">
        <v>9</v>
      </c>
      <c r="B20" s="59"/>
      <c r="C20" s="38"/>
      <c r="D20" s="38">
        <v>6</v>
      </c>
      <c r="E20" s="39"/>
      <c r="F20" s="40"/>
      <c r="G20" s="49"/>
      <c r="H20" s="60">
        <f t="shared" si="7"/>
        <v>0</v>
      </c>
      <c r="I20" s="49">
        <f t="shared" si="8"/>
        <v>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49">
        <f t="shared" si="9"/>
        <v>0</v>
      </c>
      <c r="V20" s="29">
        <f t="shared" si="10"/>
        <v>0</v>
      </c>
      <c r="W20" s="29">
        <f t="shared" si="11"/>
        <v>0</v>
      </c>
      <c r="X20" s="61">
        <f t="shared" si="12"/>
        <v>0</v>
      </c>
      <c r="Y20" s="61"/>
      <c r="Z20" s="61"/>
      <c r="AA20" s="61"/>
      <c r="AB20" s="61"/>
      <c r="AC20" s="61"/>
      <c r="AD20" s="61"/>
      <c r="AE20" s="61">
        <f t="shared" si="13"/>
        <v>0</v>
      </c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49">
        <f t="shared" si="14"/>
        <v>0</v>
      </c>
    </row>
    <row r="21" spans="1:57" ht="15" customHeight="1" x14ac:dyDescent="0.2">
      <c r="A21" s="36">
        <v>10</v>
      </c>
      <c r="B21" s="59"/>
      <c r="C21" s="38"/>
      <c r="D21" s="38">
        <v>6</v>
      </c>
      <c r="E21" s="39"/>
      <c r="F21" s="40"/>
      <c r="G21" s="49"/>
      <c r="H21" s="60">
        <f t="shared" si="7"/>
        <v>0</v>
      </c>
      <c r="I21" s="49">
        <f t="shared" si="8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49">
        <f t="shared" si="9"/>
        <v>0</v>
      </c>
      <c r="V21" s="29">
        <f t="shared" si="10"/>
        <v>0</v>
      </c>
      <c r="W21" s="29">
        <f t="shared" si="11"/>
        <v>0</v>
      </c>
      <c r="X21" s="61">
        <f t="shared" si="12"/>
        <v>0</v>
      </c>
      <c r="Y21" s="61"/>
      <c r="Z21" s="61"/>
      <c r="AA21" s="61"/>
      <c r="AB21" s="61"/>
      <c r="AC21" s="61"/>
      <c r="AD21" s="61"/>
      <c r="AE21" s="49">
        <f t="shared" si="13"/>
        <v>0</v>
      </c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49">
        <f t="shared" si="14"/>
        <v>0</v>
      </c>
    </row>
    <row r="22" spans="1:57" ht="15" customHeight="1" x14ac:dyDescent="0.2">
      <c r="A22" s="36">
        <v>11</v>
      </c>
      <c r="B22" s="59"/>
      <c r="C22" s="38"/>
      <c r="D22" s="38">
        <v>6</v>
      </c>
      <c r="E22" s="39"/>
      <c r="F22" s="40"/>
      <c r="G22" s="49"/>
      <c r="H22" s="60">
        <f t="shared" si="7"/>
        <v>0</v>
      </c>
      <c r="I22" s="49">
        <f t="shared" si="8"/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49">
        <f t="shared" si="9"/>
        <v>0</v>
      </c>
      <c r="V22" s="29">
        <f t="shared" si="10"/>
        <v>0</v>
      </c>
      <c r="W22" s="29">
        <f t="shared" si="11"/>
        <v>0</v>
      </c>
      <c r="X22" s="61">
        <f t="shared" si="12"/>
        <v>0</v>
      </c>
      <c r="Y22" s="61"/>
      <c r="Z22" s="61"/>
      <c r="AA22" s="61"/>
      <c r="AB22" s="61"/>
      <c r="AC22" s="61"/>
      <c r="AD22" s="61"/>
      <c r="AE22" s="61">
        <f t="shared" si="13"/>
        <v>0</v>
      </c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49">
        <f t="shared" si="14"/>
        <v>0</v>
      </c>
    </row>
    <row r="23" spans="1:57" ht="15" customHeight="1" x14ac:dyDescent="0.2">
      <c r="A23" s="36">
        <v>12</v>
      </c>
      <c r="B23" s="59"/>
      <c r="C23" s="38"/>
      <c r="D23" s="38">
        <v>6</v>
      </c>
      <c r="E23" s="39"/>
      <c r="F23" s="40"/>
      <c r="G23" s="49"/>
      <c r="H23" s="60">
        <f t="shared" si="7"/>
        <v>0</v>
      </c>
      <c r="I23" s="49">
        <f t="shared" si="8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49">
        <f t="shared" si="9"/>
        <v>0</v>
      </c>
      <c r="V23" s="29">
        <f t="shared" si="10"/>
        <v>0</v>
      </c>
      <c r="W23" s="29">
        <f t="shared" si="11"/>
        <v>0</v>
      </c>
      <c r="X23" s="61">
        <f t="shared" si="12"/>
        <v>0</v>
      </c>
      <c r="Y23" s="61"/>
      <c r="Z23" s="61"/>
      <c r="AA23" s="61"/>
      <c r="AB23" s="61"/>
      <c r="AC23" s="61"/>
      <c r="AD23" s="61"/>
      <c r="AE23" s="49">
        <f t="shared" si="13"/>
        <v>0</v>
      </c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49">
        <f t="shared" si="14"/>
        <v>0</v>
      </c>
    </row>
    <row r="24" spans="1:57" ht="15" customHeight="1" x14ac:dyDescent="0.2">
      <c r="A24" s="36">
        <v>13</v>
      </c>
      <c r="B24" s="59"/>
      <c r="C24" s="38"/>
      <c r="D24" s="38">
        <v>6</v>
      </c>
      <c r="E24" s="39"/>
      <c r="F24" s="40"/>
      <c r="G24" s="49"/>
      <c r="H24" s="60">
        <f t="shared" si="7"/>
        <v>0</v>
      </c>
      <c r="I24" s="49">
        <f t="shared" si="8"/>
        <v>0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49">
        <f t="shared" si="9"/>
        <v>0</v>
      </c>
      <c r="V24" s="29">
        <f t="shared" si="10"/>
        <v>0</v>
      </c>
      <c r="W24" s="29">
        <f t="shared" si="11"/>
        <v>0</v>
      </c>
      <c r="X24" s="61">
        <f t="shared" si="12"/>
        <v>0</v>
      </c>
      <c r="Y24" s="61"/>
      <c r="Z24" s="61"/>
      <c r="AA24" s="61"/>
      <c r="AB24" s="61"/>
      <c r="AC24" s="61"/>
      <c r="AD24" s="61"/>
      <c r="AE24" s="61">
        <f t="shared" si="13"/>
        <v>0</v>
      </c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49">
        <f t="shared" si="14"/>
        <v>0</v>
      </c>
    </row>
    <row r="25" spans="1:57" ht="15" customHeight="1" x14ac:dyDescent="0.2">
      <c r="A25" s="36">
        <v>14</v>
      </c>
      <c r="B25" s="59"/>
      <c r="C25" s="38"/>
      <c r="D25" s="38">
        <v>6</v>
      </c>
      <c r="E25" s="39"/>
      <c r="F25" s="40"/>
      <c r="G25" s="49"/>
      <c r="H25" s="60">
        <f t="shared" si="7"/>
        <v>0</v>
      </c>
      <c r="I25" s="49">
        <f t="shared" si="8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49">
        <f t="shared" si="9"/>
        <v>0</v>
      </c>
      <c r="V25" s="29">
        <f t="shared" si="10"/>
        <v>0</v>
      </c>
      <c r="W25" s="29">
        <f t="shared" si="11"/>
        <v>0</v>
      </c>
      <c r="X25" s="61">
        <f t="shared" si="12"/>
        <v>0</v>
      </c>
      <c r="Y25" s="61"/>
      <c r="Z25" s="61"/>
      <c r="AA25" s="61"/>
      <c r="AB25" s="61"/>
      <c r="AC25" s="61"/>
      <c r="AD25" s="61"/>
      <c r="AE25" s="49">
        <f t="shared" si="13"/>
        <v>0</v>
      </c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49">
        <f t="shared" si="14"/>
        <v>0</v>
      </c>
    </row>
    <row r="26" spans="1:57" ht="15" customHeight="1" x14ac:dyDescent="0.2">
      <c r="A26" s="36">
        <v>15</v>
      </c>
      <c r="B26" s="59"/>
      <c r="C26" s="38"/>
      <c r="D26" s="38">
        <v>6</v>
      </c>
      <c r="E26" s="39"/>
      <c r="F26" s="40"/>
      <c r="G26" s="49"/>
      <c r="H26" s="60">
        <f t="shared" si="7"/>
        <v>0</v>
      </c>
      <c r="I26" s="49">
        <f t="shared" si="8"/>
        <v>0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49">
        <f t="shared" si="9"/>
        <v>0</v>
      </c>
      <c r="V26" s="29">
        <f t="shared" si="10"/>
        <v>0</v>
      </c>
      <c r="W26" s="29">
        <f t="shared" si="11"/>
        <v>0</v>
      </c>
      <c r="X26" s="61">
        <f t="shared" si="12"/>
        <v>0</v>
      </c>
      <c r="Y26" s="61"/>
      <c r="Z26" s="61"/>
      <c r="AA26" s="61"/>
      <c r="AB26" s="61"/>
      <c r="AC26" s="61"/>
      <c r="AD26" s="61"/>
      <c r="AE26" s="61">
        <f t="shared" si="13"/>
        <v>0</v>
      </c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49">
        <f t="shared" si="14"/>
        <v>0</v>
      </c>
    </row>
    <row r="27" spans="1:57" ht="15" customHeight="1" x14ac:dyDescent="0.2">
      <c r="A27" s="36">
        <v>16</v>
      </c>
      <c r="B27" s="59"/>
      <c r="C27" s="38"/>
      <c r="D27" s="38">
        <v>6</v>
      </c>
      <c r="E27" s="39"/>
      <c r="F27" s="40"/>
      <c r="G27" s="49"/>
      <c r="H27" s="60">
        <f t="shared" si="7"/>
        <v>0</v>
      </c>
      <c r="I27" s="49">
        <f t="shared" si="8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49">
        <f t="shared" si="9"/>
        <v>0</v>
      </c>
      <c r="V27" s="29">
        <f t="shared" si="10"/>
        <v>0</v>
      </c>
      <c r="W27" s="29">
        <f t="shared" si="11"/>
        <v>0</v>
      </c>
      <c r="X27" s="61">
        <f t="shared" si="12"/>
        <v>0</v>
      </c>
      <c r="Y27" s="61"/>
      <c r="Z27" s="61"/>
      <c r="AA27" s="61"/>
      <c r="AB27" s="61"/>
      <c r="AC27" s="61"/>
      <c r="AD27" s="61"/>
      <c r="AE27" s="49">
        <f t="shared" si="13"/>
        <v>0</v>
      </c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49">
        <f t="shared" si="14"/>
        <v>0</v>
      </c>
    </row>
    <row r="28" spans="1:57" ht="15" customHeight="1" x14ac:dyDescent="0.2">
      <c r="A28" s="36">
        <v>17</v>
      </c>
      <c r="B28" s="59"/>
      <c r="C28" s="38"/>
      <c r="D28" s="38">
        <v>6</v>
      </c>
      <c r="E28" s="39"/>
      <c r="F28" s="40"/>
      <c r="G28" s="49"/>
      <c r="H28" s="60">
        <f t="shared" si="7"/>
        <v>0</v>
      </c>
      <c r="I28" s="49">
        <f t="shared" si="8"/>
        <v>0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49">
        <f t="shared" si="9"/>
        <v>0</v>
      </c>
      <c r="V28" s="29">
        <f t="shared" si="10"/>
        <v>0</v>
      </c>
      <c r="W28" s="29">
        <f t="shared" si="11"/>
        <v>0</v>
      </c>
      <c r="X28" s="61">
        <f t="shared" si="12"/>
        <v>0</v>
      </c>
      <c r="Y28" s="61"/>
      <c r="Z28" s="61"/>
      <c r="AA28" s="61"/>
      <c r="AB28" s="61"/>
      <c r="AC28" s="61"/>
      <c r="AD28" s="61"/>
      <c r="AE28" s="61">
        <f t="shared" si="13"/>
        <v>0</v>
      </c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49">
        <f t="shared" si="14"/>
        <v>0</v>
      </c>
    </row>
    <row r="29" spans="1:57" ht="15" customHeight="1" x14ac:dyDescent="0.2">
      <c r="A29" s="36">
        <v>18</v>
      </c>
      <c r="B29" s="59"/>
      <c r="C29" s="38"/>
      <c r="D29" s="38">
        <v>6</v>
      </c>
      <c r="E29" s="39"/>
      <c r="F29" s="40"/>
      <c r="G29" s="49"/>
      <c r="H29" s="60">
        <f t="shared" si="7"/>
        <v>0</v>
      </c>
      <c r="I29" s="49">
        <f t="shared" si="8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49">
        <f t="shared" si="9"/>
        <v>0</v>
      </c>
      <c r="V29" s="29">
        <f t="shared" si="10"/>
        <v>0</v>
      </c>
      <c r="W29" s="29">
        <f t="shared" si="11"/>
        <v>0</v>
      </c>
      <c r="X29" s="61">
        <f t="shared" si="12"/>
        <v>0</v>
      </c>
      <c r="Y29" s="61"/>
      <c r="Z29" s="61"/>
      <c r="AA29" s="61"/>
      <c r="AB29" s="61"/>
      <c r="AC29" s="61"/>
      <c r="AD29" s="61"/>
      <c r="AE29" s="49">
        <f t="shared" si="13"/>
        <v>0</v>
      </c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49">
        <f t="shared" si="14"/>
        <v>0</v>
      </c>
    </row>
    <row r="30" spans="1:57" ht="15" customHeight="1" x14ac:dyDescent="0.2">
      <c r="A30" s="36">
        <v>19</v>
      </c>
      <c r="B30" s="59"/>
      <c r="C30" s="38"/>
      <c r="D30" s="38">
        <v>6</v>
      </c>
      <c r="E30" s="39"/>
      <c r="F30" s="40"/>
      <c r="G30" s="49"/>
      <c r="H30" s="60">
        <f t="shared" si="7"/>
        <v>0</v>
      </c>
      <c r="I30" s="49">
        <f t="shared" si="8"/>
        <v>0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49">
        <f t="shared" si="9"/>
        <v>0</v>
      </c>
      <c r="V30" s="29">
        <f t="shared" si="10"/>
        <v>0</v>
      </c>
      <c r="W30" s="29">
        <f t="shared" si="11"/>
        <v>0</v>
      </c>
      <c r="X30" s="61">
        <f t="shared" si="12"/>
        <v>0</v>
      </c>
      <c r="Y30" s="61"/>
      <c r="Z30" s="61"/>
      <c r="AA30" s="61"/>
      <c r="AB30" s="61"/>
      <c r="AC30" s="61"/>
      <c r="AD30" s="61"/>
      <c r="AE30" s="61">
        <f t="shared" si="13"/>
        <v>0</v>
      </c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49">
        <f t="shared" si="14"/>
        <v>0</v>
      </c>
    </row>
    <row r="31" spans="1:57" ht="15" customHeight="1" x14ac:dyDescent="0.2">
      <c r="A31" s="36">
        <v>20</v>
      </c>
      <c r="B31" s="59"/>
      <c r="C31" s="38"/>
      <c r="D31" s="38">
        <v>6</v>
      </c>
      <c r="E31" s="39"/>
      <c r="F31" s="40"/>
      <c r="G31" s="49"/>
      <c r="H31" s="60">
        <f t="shared" si="7"/>
        <v>0</v>
      </c>
      <c r="I31" s="49">
        <f t="shared" si="8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49">
        <f t="shared" si="9"/>
        <v>0</v>
      </c>
      <c r="V31" s="29">
        <f t="shared" si="10"/>
        <v>0</v>
      </c>
      <c r="W31" s="29">
        <f t="shared" si="11"/>
        <v>0</v>
      </c>
      <c r="X31" s="61">
        <f t="shared" si="12"/>
        <v>0</v>
      </c>
      <c r="Y31" s="61"/>
      <c r="Z31" s="61"/>
      <c r="AA31" s="61"/>
      <c r="AB31" s="61"/>
      <c r="AC31" s="61"/>
      <c r="AD31" s="61"/>
      <c r="AE31" s="49">
        <f t="shared" si="13"/>
        <v>0</v>
      </c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49">
        <f t="shared" si="14"/>
        <v>0</v>
      </c>
    </row>
    <row r="32" spans="1:57" ht="15" customHeight="1" x14ac:dyDescent="0.2">
      <c r="A32" s="36">
        <v>21</v>
      </c>
      <c r="B32" s="59"/>
      <c r="C32" s="38"/>
      <c r="D32" s="38">
        <v>6</v>
      </c>
      <c r="E32" s="39"/>
      <c r="F32" s="40"/>
      <c r="G32" s="49"/>
      <c r="H32" s="60">
        <f t="shared" si="7"/>
        <v>0</v>
      </c>
      <c r="I32" s="49">
        <f t="shared" si="8"/>
        <v>0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49">
        <f t="shared" si="9"/>
        <v>0</v>
      </c>
      <c r="V32" s="29">
        <f t="shared" si="10"/>
        <v>0</v>
      </c>
      <c r="W32" s="29">
        <f t="shared" si="11"/>
        <v>0</v>
      </c>
      <c r="X32" s="61">
        <f t="shared" si="12"/>
        <v>0</v>
      </c>
      <c r="Y32" s="61"/>
      <c r="Z32" s="61"/>
      <c r="AA32" s="61"/>
      <c r="AB32" s="61"/>
      <c r="AC32" s="61"/>
      <c r="AD32" s="61"/>
      <c r="AE32" s="61">
        <f t="shared" si="13"/>
        <v>0</v>
      </c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49">
        <f t="shared" si="14"/>
        <v>0</v>
      </c>
    </row>
    <row r="33" spans="1:57" ht="15" customHeight="1" x14ac:dyDescent="0.2">
      <c r="A33" s="36">
        <v>22</v>
      </c>
      <c r="B33" s="59"/>
      <c r="C33" s="38"/>
      <c r="D33" s="38">
        <v>6</v>
      </c>
      <c r="E33" s="39"/>
      <c r="F33" s="40"/>
      <c r="G33" s="49"/>
      <c r="H33" s="60">
        <f t="shared" si="7"/>
        <v>0</v>
      </c>
      <c r="I33" s="49">
        <f t="shared" si="8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49">
        <f t="shared" si="9"/>
        <v>0</v>
      </c>
      <c r="V33" s="29">
        <f t="shared" si="10"/>
        <v>0</v>
      </c>
      <c r="W33" s="29">
        <f t="shared" si="11"/>
        <v>0</v>
      </c>
      <c r="X33" s="61">
        <f t="shared" si="12"/>
        <v>0</v>
      </c>
      <c r="Y33" s="61"/>
      <c r="Z33" s="61"/>
      <c r="AA33" s="61"/>
      <c r="AB33" s="61"/>
      <c r="AC33" s="61"/>
      <c r="AD33" s="61"/>
      <c r="AE33" s="49">
        <f t="shared" si="13"/>
        <v>0</v>
      </c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49">
        <f t="shared" si="14"/>
        <v>0</v>
      </c>
    </row>
    <row r="34" spans="1:57" ht="15" customHeight="1" x14ac:dyDescent="0.2">
      <c r="A34" s="36">
        <v>23</v>
      </c>
      <c r="B34" s="59"/>
      <c r="C34" s="38"/>
      <c r="D34" s="38">
        <v>6</v>
      </c>
      <c r="E34" s="39"/>
      <c r="F34" s="40"/>
      <c r="G34" s="49"/>
      <c r="H34" s="60">
        <f t="shared" si="7"/>
        <v>0</v>
      </c>
      <c r="I34" s="49">
        <f t="shared" si="8"/>
        <v>0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49">
        <f t="shared" si="9"/>
        <v>0</v>
      </c>
      <c r="V34" s="29">
        <f t="shared" si="10"/>
        <v>0</v>
      </c>
      <c r="W34" s="29">
        <f t="shared" si="11"/>
        <v>0</v>
      </c>
      <c r="X34" s="61">
        <f t="shared" si="12"/>
        <v>0</v>
      </c>
      <c r="Y34" s="61"/>
      <c r="Z34" s="61"/>
      <c r="AA34" s="61"/>
      <c r="AB34" s="61"/>
      <c r="AC34" s="61"/>
      <c r="AD34" s="61"/>
      <c r="AE34" s="61">
        <f t="shared" si="13"/>
        <v>0</v>
      </c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49">
        <f t="shared" si="14"/>
        <v>0</v>
      </c>
    </row>
    <row r="35" spans="1:57" ht="15" customHeight="1" x14ac:dyDescent="0.2">
      <c r="A35" s="36">
        <v>24</v>
      </c>
      <c r="B35" s="59"/>
      <c r="C35" s="38"/>
      <c r="D35" s="38">
        <v>6</v>
      </c>
      <c r="E35" s="39"/>
      <c r="F35" s="40"/>
      <c r="G35" s="49"/>
      <c r="H35" s="60">
        <f t="shared" si="7"/>
        <v>0</v>
      </c>
      <c r="I35" s="49">
        <f t="shared" si="8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49">
        <f t="shared" si="9"/>
        <v>0</v>
      </c>
      <c r="V35" s="29">
        <f t="shared" si="10"/>
        <v>0</v>
      </c>
      <c r="W35" s="29">
        <f t="shared" si="11"/>
        <v>0</v>
      </c>
      <c r="X35" s="61">
        <f t="shared" si="12"/>
        <v>0</v>
      </c>
      <c r="Y35" s="61"/>
      <c r="Z35" s="61"/>
      <c r="AA35" s="61"/>
      <c r="AB35" s="61"/>
      <c r="AC35" s="61"/>
      <c r="AD35" s="61"/>
      <c r="AE35" s="49">
        <f t="shared" si="13"/>
        <v>0</v>
      </c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49">
        <f t="shared" si="14"/>
        <v>0</v>
      </c>
    </row>
    <row r="36" spans="1:57" ht="15" customHeight="1" x14ac:dyDescent="0.2">
      <c r="A36" s="36">
        <v>25</v>
      </c>
      <c r="B36" s="59"/>
      <c r="C36" s="38"/>
      <c r="D36" s="38">
        <v>6</v>
      </c>
      <c r="E36" s="39"/>
      <c r="F36" s="40"/>
      <c r="G36" s="49"/>
      <c r="H36" s="60">
        <f t="shared" si="7"/>
        <v>0</v>
      </c>
      <c r="I36" s="49">
        <f t="shared" si="8"/>
        <v>0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49">
        <f t="shared" si="9"/>
        <v>0</v>
      </c>
      <c r="V36" s="29">
        <f t="shared" si="10"/>
        <v>0</v>
      </c>
      <c r="W36" s="29">
        <f t="shared" si="11"/>
        <v>0</v>
      </c>
      <c r="X36" s="61">
        <f t="shared" si="12"/>
        <v>0</v>
      </c>
      <c r="Y36" s="61"/>
      <c r="Z36" s="61"/>
      <c r="AA36" s="61"/>
      <c r="AB36" s="61"/>
      <c r="AC36" s="61"/>
      <c r="AD36" s="61"/>
      <c r="AE36" s="61">
        <f t="shared" si="13"/>
        <v>0</v>
      </c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49">
        <f t="shared" si="14"/>
        <v>0</v>
      </c>
    </row>
    <row r="37" spans="1:57" ht="15" customHeight="1" x14ac:dyDescent="0.2">
      <c r="A37" s="36">
        <v>26</v>
      </c>
      <c r="B37" s="59"/>
      <c r="C37" s="38"/>
      <c r="D37" s="38">
        <v>6</v>
      </c>
      <c r="E37" s="39"/>
      <c r="F37" s="40"/>
      <c r="G37" s="49"/>
      <c r="H37" s="60">
        <f t="shared" si="7"/>
        <v>0</v>
      </c>
      <c r="I37" s="49">
        <f t="shared" si="8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49">
        <f t="shared" si="9"/>
        <v>0</v>
      </c>
      <c r="V37" s="29">
        <f t="shared" si="10"/>
        <v>0</v>
      </c>
      <c r="W37" s="29">
        <f t="shared" si="11"/>
        <v>0</v>
      </c>
      <c r="X37" s="61">
        <f t="shared" si="12"/>
        <v>0</v>
      </c>
      <c r="Y37" s="61"/>
      <c r="Z37" s="61"/>
      <c r="AA37" s="61"/>
      <c r="AB37" s="61"/>
      <c r="AC37" s="61"/>
      <c r="AD37" s="61"/>
      <c r="AE37" s="49">
        <f t="shared" si="13"/>
        <v>0</v>
      </c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49">
        <f t="shared" si="14"/>
        <v>0</v>
      </c>
    </row>
    <row r="38" spans="1:57" ht="15" customHeight="1" x14ac:dyDescent="0.2">
      <c r="A38" s="36">
        <v>27</v>
      </c>
      <c r="B38" s="59"/>
      <c r="C38" s="38"/>
      <c r="D38" s="38">
        <v>6</v>
      </c>
      <c r="E38" s="39"/>
      <c r="F38" s="40"/>
      <c r="G38" s="49"/>
      <c r="H38" s="60">
        <f t="shared" si="7"/>
        <v>0</v>
      </c>
      <c r="I38" s="49">
        <f t="shared" si="8"/>
        <v>0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49">
        <f t="shared" si="9"/>
        <v>0</v>
      </c>
      <c r="V38" s="29">
        <f t="shared" si="10"/>
        <v>0</v>
      </c>
      <c r="W38" s="29">
        <f t="shared" si="11"/>
        <v>0</v>
      </c>
      <c r="X38" s="61">
        <f t="shared" si="12"/>
        <v>0</v>
      </c>
      <c r="Y38" s="61"/>
      <c r="Z38" s="61"/>
      <c r="AA38" s="61"/>
      <c r="AB38" s="61"/>
      <c r="AC38" s="61"/>
      <c r="AD38" s="61"/>
      <c r="AE38" s="61">
        <f t="shared" si="13"/>
        <v>0</v>
      </c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49">
        <f t="shared" si="14"/>
        <v>0</v>
      </c>
    </row>
    <row r="39" spans="1:57" ht="15" customHeight="1" x14ac:dyDescent="0.2">
      <c r="A39" s="36">
        <v>28</v>
      </c>
      <c r="B39" s="59"/>
      <c r="C39" s="38"/>
      <c r="D39" s="38">
        <v>6</v>
      </c>
      <c r="E39" s="39"/>
      <c r="F39" s="40"/>
      <c r="G39" s="49"/>
      <c r="H39" s="60">
        <f t="shared" si="7"/>
        <v>0</v>
      </c>
      <c r="I39" s="49">
        <f t="shared" si="8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49">
        <f t="shared" si="9"/>
        <v>0</v>
      </c>
      <c r="V39" s="29">
        <f t="shared" si="10"/>
        <v>0</v>
      </c>
      <c r="W39" s="29">
        <f t="shared" si="11"/>
        <v>0</v>
      </c>
      <c r="X39" s="61">
        <f t="shared" si="12"/>
        <v>0</v>
      </c>
      <c r="Y39" s="61"/>
      <c r="Z39" s="61"/>
      <c r="AA39" s="61"/>
      <c r="AB39" s="61"/>
      <c r="AC39" s="61"/>
      <c r="AD39" s="61"/>
      <c r="AE39" s="49">
        <f t="shared" si="13"/>
        <v>0</v>
      </c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49">
        <f t="shared" si="14"/>
        <v>0</v>
      </c>
    </row>
    <row r="40" spans="1:57" ht="15" customHeight="1" x14ac:dyDescent="0.2">
      <c r="A40" s="36">
        <v>29</v>
      </c>
      <c r="B40" s="59"/>
      <c r="C40" s="38"/>
      <c r="D40" s="38">
        <v>6</v>
      </c>
      <c r="E40" s="39"/>
      <c r="F40" s="40"/>
      <c r="G40" s="49"/>
      <c r="H40" s="60">
        <f t="shared" si="7"/>
        <v>0</v>
      </c>
      <c r="I40" s="49">
        <f t="shared" si="8"/>
        <v>0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49">
        <f t="shared" si="9"/>
        <v>0</v>
      </c>
      <c r="V40" s="29">
        <f t="shared" si="10"/>
        <v>0</v>
      </c>
      <c r="W40" s="29">
        <f t="shared" si="11"/>
        <v>0</v>
      </c>
      <c r="X40" s="61">
        <f t="shared" si="12"/>
        <v>0</v>
      </c>
      <c r="Y40" s="61"/>
      <c r="Z40" s="61"/>
      <c r="AA40" s="61"/>
      <c r="AB40" s="61"/>
      <c r="AC40" s="61"/>
      <c r="AD40" s="61"/>
      <c r="AE40" s="61">
        <f t="shared" si="13"/>
        <v>0</v>
      </c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49">
        <f t="shared" si="14"/>
        <v>0</v>
      </c>
    </row>
    <row r="41" spans="1:57" ht="15" customHeight="1" x14ac:dyDescent="0.2">
      <c r="A41" s="36">
        <v>30</v>
      </c>
      <c r="B41" s="59"/>
      <c r="C41" s="38"/>
      <c r="D41" s="38">
        <v>6</v>
      </c>
      <c r="E41" s="39"/>
      <c r="F41" s="40"/>
      <c r="G41" s="49"/>
      <c r="H41" s="60">
        <f t="shared" si="7"/>
        <v>0</v>
      </c>
      <c r="I41" s="49">
        <f t="shared" si="8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49">
        <f t="shared" si="9"/>
        <v>0</v>
      </c>
      <c r="V41" s="29">
        <f t="shared" si="10"/>
        <v>0</v>
      </c>
      <c r="W41" s="29">
        <f t="shared" si="11"/>
        <v>0</v>
      </c>
      <c r="X41" s="61">
        <f t="shared" si="12"/>
        <v>0</v>
      </c>
      <c r="Y41" s="61"/>
      <c r="Z41" s="61"/>
      <c r="AA41" s="61"/>
      <c r="AB41" s="61"/>
      <c r="AC41" s="61"/>
      <c r="AD41" s="61"/>
      <c r="AE41" s="49">
        <f t="shared" si="13"/>
        <v>0</v>
      </c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49">
        <f t="shared" si="14"/>
        <v>0</v>
      </c>
    </row>
    <row r="42" spans="1:57" ht="15" customHeight="1" x14ac:dyDescent="0.2">
      <c r="A42" s="36">
        <v>31</v>
      </c>
      <c r="B42" s="59"/>
      <c r="C42" s="38"/>
      <c r="D42" s="38">
        <v>6</v>
      </c>
      <c r="E42" s="39"/>
      <c r="F42" s="40"/>
      <c r="G42" s="49"/>
      <c r="H42" s="60">
        <f t="shared" si="7"/>
        <v>0</v>
      </c>
      <c r="I42" s="49">
        <f t="shared" si="8"/>
        <v>0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49">
        <f t="shared" si="9"/>
        <v>0</v>
      </c>
      <c r="V42" s="29">
        <f t="shared" si="10"/>
        <v>0</v>
      </c>
      <c r="W42" s="29">
        <f t="shared" si="11"/>
        <v>0</v>
      </c>
      <c r="X42" s="61">
        <f t="shared" si="12"/>
        <v>0</v>
      </c>
      <c r="Y42" s="61"/>
      <c r="Z42" s="61"/>
      <c r="AA42" s="61"/>
      <c r="AB42" s="61"/>
      <c r="AC42" s="61"/>
      <c r="AD42" s="61"/>
      <c r="AE42" s="61">
        <f t="shared" si="13"/>
        <v>0</v>
      </c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49">
        <f t="shared" si="14"/>
        <v>0</v>
      </c>
    </row>
    <row r="43" spans="1:57" ht="15" customHeight="1" x14ac:dyDescent="0.2">
      <c r="A43" s="36">
        <v>32</v>
      </c>
      <c r="B43" s="59"/>
      <c r="C43" s="38"/>
      <c r="D43" s="38">
        <v>6</v>
      </c>
      <c r="E43" s="39"/>
      <c r="F43" s="40"/>
      <c r="G43" s="49"/>
      <c r="H43" s="60">
        <f t="shared" si="7"/>
        <v>0</v>
      </c>
      <c r="I43" s="49">
        <f t="shared" si="8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49">
        <f t="shared" si="9"/>
        <v>0</v>
      </c>
      <c r="V43" s="29">
        <f t="shared" si="10"/>
        <v>0</v>
      </c>
      <c r="W43" s="29">
        <f t="shared" si="11"/>
        <v>0</v>
      </c>
      <c r="X43" s="61">
        <f t="shared" si="12"/>
        <v>0</v>
      </c>
      <c r="Y43" s="61"/>
      <c r="Z43" s="61"/>
      <c r="AA43" s="61"/>
      <c r="AB43" s="61"/>
      <c r="AC43" s="61"/>
      <c r="AD43" s="61"/>
      <c r="AE43" s="49">
        <f t="shared" si="13"/>
        <v>0</v>
      </c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49">
        <f t="shared" si="14"/>
        <v>0</v>
      </c>
    </row>
    <row r="44" spans="1:57" ht="15" customHeight="1" x14ac:dyDescent="0.2">
      <c r="A44" s="36">
        <v>33</v>
      </c>
      <c r="B44" s="59"/>
      <c r="C44" s="38"/>
      <c r="D44" s="38">
        <v>6</v>
      </c>
      <c r="E44" s="39"/>
      <c r="F44" s="40"/>
      <c r="G44" s="49"/>
      <c r="H44" s="60">
        <f t="shared" si="7"/>
        <v>0</v>
      </c>
      <c r="I44" s="49">
        <f t="shared" si="8"/>
        <v>0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49">
        <f t="shared" si="9"/>
        <v>0</v>
      </c>
      <c r="V44" s="29">
        <f t="shared" si="10"/>
        <v>0</v>
      </c>
      <c r="W44" s="29">
        <f t="shared" si="11"/>
        <v>0</v>
      </c>
      <c r="X44" s="61">
        <f t="shared" si="12"/>
        <v>0</v>
      </c>
      <c r="Y44" s="61"/>
      <c r="Z44" s="61"/>
      <c r="AA44" s="61"/>
      <c r="AB44" s="61"/>
      <c r="AC44" s="61"/>
      <c r="AD44" s="61"/>
      <c r="AE44" s="61">
        <f t="shared" si="13"/>
        <v>0</v>
      </c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49">
        <f t="shared" si="14"/>
        <v>0</v>
      </c>
    </row>
    <row r="45" spans="1:57" ht="15" customHeight="1" x14ac:dyDescent="0.2">
      <c r="A45" s="36">
        <v>34</v>
      </c>
      <c r="B45" s="59"/>
      <c r="C45" s="38"/>
      <c r="D45" s="38">
        <v>6</v>
      </c>
      <c r="E45" s="39"/>
      <c r="F45" s="40"/>
      <c r="G45" s="49"/>
      <c r="H45" s="60">
        <f t="shared" si="7"/>
        <v>0</v>
      </c>
      <c r="I45" s="49">
        <f t="shared" si="8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49">
        <f t="shared" si="9"/>
        <v>0</v>
      </c>
      <c r="V45" s="29">
        <f t="shared" si="10"/>
        <v>0</v>
      </c>
      <c r="W45" s="29">
        <f t="shared" si="11"/>
        <v>0</v>
      </c>
      <c r="X45" s="61">
        <f t="shared" si="12"/>
        <v>0</v>
      </c>
      <c r="Y45" s="61"/>
      <c r="Z45" s="61"/>
      <c r="AA45" s="61"/>
      <c r="AB45" s="61"/>
      <c r="AC45" s="61"/>
      <c r="AD45" s="61"/>
      <c r="AE45" s="49">
        <f t="shared" si="13"/>
        <v>0</v>
      </c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49">
        <f t="shared" si="14"/>
        <v>0</v>
      </c>
    </row>
    <row r="46" spans="1:57" ht="15" customHeight="1" x14ac:dyDescent="0.2">
      <c r="A46" s="36">
        <v>35</v>
      </c>
      <c r="B46" s="59"/>
      <c r="C46" s="38"/>
      <c r="D46" s="38">
        <v>6</v>
      </c>
      <c r="E46" s="39"/>
      <c r="F46" s="40"/>
      <c r="G46" s="49"/>
      <c r="H46" s="60">
        <f t="shared" si="7"/>
        <v>0</v>
      </c>
      <c r="I46" s="49">
        <f t="shared" si="8"/>
        <v>0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49">
        <f t="shared" si="9"/>
        <v>0</v>
      </c>
      <c r="V46" s="29">
        <f t="shared" si="10"/>
        <v>0</v>
      </c>
      <c r="W46" s="29">
        <f t="shared" si="11"/>
        <v>0</v>
      </c>
      <c r="X46" s="61">
        <f t="shared" si="12"/>
        <v>0</v>
      </c>
      <c r="Y46" s="61"/>
      <c r="Z46" s="61"/>
      <c r="AA46" s="61"/>
      <c r="AB46" s="61"/>
      <c r="AC46" s="61"/>
      <c r="AD46" s="61"/>
      <c r="AE46" s="61">
        <f t="shared" si="13"/>
        <v>0</v>
      </c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49">
        <f t="shared" si="14"/>
        <v>0</v>
      </c>
    </row>
    <row r="47" spans="1:57" ht="15" customHeight="1" x14ac:dyDescent="0.2">
      <c r="A47" s="36">
        <v>36</v>
      </c>
      <c r="B47" s="59"/>
      <c r="C47" s="38"/>
      <c r="D47" s="38">
        <v>6</v>
      </c>
      <c r="E47" s="39"/>
      <c r="F47" s="40"/>
      <c r="G47" s="49"/>
      <c r="H47" s="60">
        <f t="shared" si="7"/>
        <v>0</v>
      </c>
      <c r="I47" s="49">
        <f t="shared" si="8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49">
        <f t="shared" si="9"/>
        <v>0</v>
      </c>
      <c r="V47" s="29">
        <f t="shared" si="10"/>
        <v>0</v>
      </c>
      <c r="W47" s="29">
        <f t="shared" si="11"/>
        <v>0</v>
      </c>
      <c r="X47" s="61">
        <f t="shared" si="12"/>
        <v>0</v>
      </c>
      <c r="Y47" s="61"/>
      <c r="Z47" s="61"/>
      <c r="AA47" s="61"/>
      <c r="AB47" s="61"/>
      <c r="AC47" s="61"/>
      <c r="AD47" s="61"/>
      <c r="AE47" s="49">
        <f t="shared" si="13"/>
        <v>0</v>
      </c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49">
        <f t="shared" si="14"/>
        <v>0</v>
      </c>
    </row>
    <row r="48" spans="1:57" ht="15" customHeight="1" x14ac:dyDescent="0.2">
      <c r="A48" s="36">
        <v>37</v>
      </c>
      <c r="B48" s="59"/>
      <c r="C48" s="38"/>
      <c r="D48" s="38">
        <v>6</v>
      </c>
      <c r="E48" s="39"/>
      <c r="F48" s="40"/>
      <c r="G48" s="49"/>
      <c r="H48" s="60">
        <f t="shared" si="7"/>
        <v>0</v>
      </c>
      <c r="I48" s="49">
        <f t="shared" si="8"/>
        <v>0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49">
        <f t="shared" si="9"/>
        <v>0</v>
      </c>
      <c r="V48" s="29">
        <f t="shared" si="10"/>
        <v>0</v>
      </c>
      <c r="W48" s="29">
        <f t="shared" si="11"/>
        <v>0</v>
      </c>
      <c r="X48" s="61">
        <f t="shared" si="12"/>
        <v>0</v>
      </c>
      <c r="Y48" s="61"/>
      <c r="Z48" s="61"/>
      <c r="AA48" s="61"/>
      <c r="AB48" s="61"/>
      <c r="AC48" s="61"/>
      <c r="AD48" s="61"/>
      <c r="AE48" s="61">
        <f t="shared" si="13"/>
        <v>0</v>
      </c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49">
        <f t="shared" si="14"/>
        <v>0</v>
      </c>
    </row>
    <row r="49" spans="1:57" ht="15" customHeight="1" x14ac:dyDescent="0.2">
      <c r="A49" s="36">
        <v>38</v>
      </c>
      <c r="B49" s="59"/>
      <c r="C49" s="38"/>
      <c r="D49" s="38">
        <v>6</v>
      </c>
      <c r="E49" s="39"/>
      <c r="F49" s="40"/>
      <c r="G49" s="49"/>
      <c r="H49" s="60">
        <f t="shared" si="7"/>
        <v>0</v>
      </c>
      <c r="I49" s="49">
        <f t="shared" si="8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49">
        <f t="shared" si="9"/>
        <v>0</v>
      </c>
      <c r="V49" s="29">
        <f t="shared" si="10"/>
        <v>0</v>
      </c>
      <c r="W49" s="29">
        <f t="shared" si="11"/>
        <v>0</v>
      </c>
      <c r="X49" s="61">
        <f t="shared" si="12"/>
        <v>0</v>
      </c>
      <c r="Y49" s="61"/>
      <c r="Z49" s="61"/>
      <c r="AA49" s="61"/>
      <c r="AB49" s="61"/>
      <c r="AC49" s="61"/>
      <c r="AD49" s="61"/>
      <c r="AE49" s="49">
        <f t="shared" si="13"/>
        <v>0</v>
      </c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49">
        <f t="shared" si="14"/>
        <v>0</v>
      </c>
    </row>
    <row r="50" spans="1:57" ht="15" customHeight="1" x14ac:dyDescent="0.2">
      <c r="A50" s="36">
        <v>39</v>
      </c>
      <c r="B50" s="59"/>
      <c r="C50" s="38"/>
      <c r="D50" s="38">
        <v>6</v>
      </c>
      <c r="E50" s="39"/>
      <c r="F50" s="40"/>
      <c r="G50" s="49"/>
      <c r="H50" s="60">
        <f t="shared" si="7"/>
        <v>0</v>
      </c>
      <c r="I50" s="49">
        <f t="shared" si="8"/>
        <v>0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49">
        <f t="shared" si="9"/>
        <v>0</v>
      </c>
      <c r="V50" s="29">
        <f t="shared" si="10"/>
        <v>0</v>
      </c>
      <c r="W50" s="29">
        <f t="shared" si="11"/>
        <v>0</v>
      </c>
      <c r="X50" s="61">
        <f t="shared" si="12"/>
        <v>0</v>
      </c>
      <c r="Y50" s="61"/>
      <c r="Z50" s="61"/>
      <c r="AA50" s="61"/>
      <c r="AB50" s="61"/>
      <c r="AC50" s="61"/>
      <c r="AD50" s="61"/>
      <c r="AE50" s="61">
        <f t="shared" si="13"/>
        <v>0</v>
      </c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49">
        <f t="shared" si="14"/>
        <v>0</v>
      </c>
    </row>
    <row r="51" spans="1:57" ht="15" customHeight="1" x14ac:dyDescent="0.2">
      <c r="A51" s="36">
        <v>40</v>
      </c>
      <c r="B51" s="59"/>
      <c r="C51" s="38"/>
      <c r="D51" s="38">
        <v>6</v>
      </c>
      <c r="E51" s="39"/>
      <c r="F51" s="40"/>
      <c r="G51" s="49"/>
      <c r="H51" s="60">
        <f t="shared" si="7"/>
        <v>0</v>
      </c>
      <c r="I51" s="49">
        <f t="shared" si="8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49">
        <f t="shared" si="9"/>
        <v>0</v>
      </c>
      <c r="V51" s="29">
        <f t="shared" si="10"/>
        <v>0</v>
      </c>
      <c r="W51" s="29">
        <f t="shared" si="11"/>
        <v>0</v>
      </c>
      <c r="X51" s="61">
        <f t="shared" si="12"/>
        <v>0</v>
      </c>
      <c r="Y51" s="61"/>
      <c r="Z51" s="61"/>
      <c r="AA51" s="61"/>
      <c r="AB51" s="61"/>
      <c r="AC51" s="61"/>
      <c r="AD51" s="61"/>
      <c r="AE51" s="49">
        <f t="shared" si="13"/>
        <v>0</v>
      </c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49">
        <f t="shared" si="14"/>
        <v>0</v>
      </c>
    </row>
    <row r="52" spans="1:57" ht="15" customHeight="1" x14ac:dyDescent="0.2">
      <c r="A52" s="36">
        <v>41</v>
      </c>
      <c r="B52" s="59"/>
      <c r="C52" s="38"/>
      <c r="D52" s="38">
        <v>6</v>
      </c>
      <c r="E52" s="39"/>
      <c r="F52" s="40"/>
      <c r="G52" s="49"/>
      <c r="H52" s="60">
        <f t="shared" si="7"/>
        <v>0</v>
      </c>
      <c r="I52" s="49">
        <f t="shared" si="8"/>
        <v>0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49">
        <f t="shared" si="9"/>
        <v>0</v>
      </c>
      <c r="V52" s="29">
        <f t="shared" si="10"/>
        <v>0</v>
      </c>
      <c r="W52" s="29">
        <f t="shared" si="11"/>
        <v>0</v>
      </c>
      <c r="X52" s="61">
        <f t="shared" si="12"/>
        <v>0</v>
      </c>
      <c r="Y52" s="61"/>
      <c r="Z52" s="61"/>
      <c r="AA52" s="61"/>
      <c r="AB52" s="61"/>
      <c r="AC52" s="61"/>
      <c r="AD52" s="61"/>
      <c r="AE52" s="61">
        <f t="shared" si="13"/>
        <v>0</v>
      </c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49">
        <f t="shared" si="14"/>
        <v>0</v>
      </c>
    </row>
    <row r="53" spans="1:57" ht="15" customHeight="1" x14ac:dyDescent="0.2">
      <c r="A53" s="36">
        <v>42</v>
      </c>
      <c r="B53" s="59"/>
      <c r="C53" s="38"/>
      <c r="D53" s="38">
        <v>6</v>
      </c>
      <c r="E53" s="39"/>
      <c r="F53" s="40"/>
      <c r="G53" s="49"/>
      <c r="H53" s="60">
        <f t="shared" si="7"/>
        <v>0</v>
      </c>
      <c r="I53" s="49">
        <f t="shared" si="8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49">
        <f t="shared" si="9"/>
        <v>0</v>
      </c>
      <c r="V53" s="29">
        <f t="shared" si="10"/>
        <v>0</v>
      </c>
      <c r="W53" s="29">
        <f t="shared" si="11"/>
        <v>0</v>
      </c>
      <c r="X53" s="61">
        <f t="shared" si="12"/>
        <v>0</v>
      </c>
      <c r="Y53" s="61"/>
      <c r="Z53" s="61"/>
      <c r="AA53" s="61"/>
      <c r="AB53" s="61"/>
      <c r="AC53" s="61"/>
      <c r="AD53" s="61"/>
      <c r="AE53" s="49">
        <f t="shared" si="13"/>
        <v>0</v>
      </c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49">
        <f t="shared" si="14"/>
        <v>0</v>
      </c>
    </row>
    <row r="54" spans="1:57" ht="15" customHeight="1" x14ac:dyDescent="0.2">
      <c r="A54" s="36">
        <v>43</v>
      </c>
      <c r="B54" s="59"/>
      <c r="C54" s="38"/>
      <c r="D54" s="38">
        <v>6</v>
      </c>
      <c r="E54" s="39"/>
      <c r="F54" s="40"/>
      <c r="G54" s="49"/>
      <c r="H54" s="60">
        <f t="shared" si="7"/>
        <v>0</v>
      </c>
      <c r="I54" s="49">
        <f t="shared" si="8"/>
        <v>0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49">
        <f t="shared" si="9"/>
        <v>0</v>
      </c>
      <c r="V54" s="29">
        <f t="shared" si="10"/>
        <v>0</v>
      </c>
      <c r="W54" s="29">
        <f t="shared" si="11"/>
        <v>0</v>
      </c>
      <c r="X54" s="61">
        <f t="shared" si="12"/>
        <v>0</v>
      </c>
      <c r="Y54" s="61"/>
      <c r="Z54" s="61"/>
      <c r="AA54" s="61"/>
      <c r="AB54" s="61"/>
      <c r="AC54" s="61"/>
      <c r="AD54" s="61"/>
      <c r="AE54" s="61">
        <f t="shared" si="13"/>
        <v>0</v>
      </c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49">
        <f t="shared" si="14"/>
        <v>0</v>
      </c>
    </row>
    <row r="55" spans="1:57" ht="15" customHeight="1" x14ac:dyDescent="0.2">
      <c r="A55" s="36">
        <v>44</v>
      </c>
      <c r="B55" s="59"/>
      <c r="C55" s="38"/>
      <c r="D55" s="38">
        <v>6</v>
      </c>
      <c r="E55" s="39"/>
      <c r="F55" s="40"/>
      <c r="G55" s="49"/>
      <c r="H55" s="60">
        <f t="shared" si="7"/>
        <v>0</v>
      </c>
      <c r="I55" s="49">
        <f t="shared" si="8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49">
        <f t="shared" si="9"/>
        <v>0</v>
      </c>
      <c r="V55" s="29">
        <f t="shared" si="10"/>
        <v>0</v>
      </c>
      <c r="W55" s="29">
        <f t="shared" si="11"/>
        <v>0</v>
      </c>
      <c r="X55" s="61">
        <f t="shared" si="12"/>
        <v>0</v>
      </c>
      <c r="Y55" s="61"/>
      <c r="Z55" s="61"/>
      <c r="AA55" s="61"/>
      <c r="AB55" s="61"/>
      <c r="AC55" s="61"/>
      <c r="AD55" s="61"/>
      <c r="AE55" s="49">
        <f t="shared" si="13"/>
        <v>0</v>
      </c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49">
        <f t="shared" si="14"/>
        <v>0</v>
      </c>
    </row>
    <row r="56" spans="1:57" ht="15" customHeight="1" x14ac:dyDescent="0.2">
      <c r="A56" s="36">
        <v>45</v>
      </c>
      <c r="B56" s="59"/>
      <c r="C56" s="38"/>
      <c r="D56" s="38">
        <v>6</v>
      </c>
      <c r="E56" s="39"/>
      <c r="F56" s="40"/>
      <c r="G56" s="49"/>
      <c r="H56" s="60">
        <f t="shared" si="7"/>
        <v>0</v>
      </c>
      <c r="I56" s="49">
        <f t="shared" si="8"/>
        <v>0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49">
        <f t="shared" si="9"/>
        <v>0</v>
      </c>
      <c r="V56" s="29">
        <f t="shared" si="10"/>
        <v>0</v>
      </c>
      <c r="W56" s="29">
        <f t="shared" si="11"/>
        <v>0</v>
      </c>
      <c r="X56" s="61">
        <f t="shared" si="12"/>
        <v>0</v>
      </c>
      <c r="Y56" s="61"/>
      <c r="Z56" s="61"/>
      <c r="AA56" s="61"/>
      <c r="AB56" s="61"/>
      <c r="AC56" s="61"/>
      <c r="AD56" s="61"/>
      <c r="AE56" s="61">
        <f t="shared" si="13"/>
        <v>0</v>
      </c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49">
        <f t="shared" si="14"/>
        <v>0</v>
      </c>
    </row>
    <row r="57" spans="1:57" ht="15" customHeight="1" x14ac:dyDescent="0.2">
      <c r="A57" s="36">
        <v>46</v>
      </c>
      <c r="B57" s="59"/>
      <c r="C57" s="38"/>
      <c r="D57" s="38">
        <v>6</v>
      </c>
      <c r="E57" s="39"/>
      <c r="F57" s="40"/>
      <c r="G57" s="49"/>
      <c r="H57" s="60">
        <f t="shared" si="7"/>
        <v>0</v>
      </c>
      <c r="I57" s="49">
        <f t="shared" si="8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49">
        <f t="shared" si="9"/>
        <v>0</v>
      </c>
      <c r="V57" s="29">
        <f t="shared" si="10"/>
        <v>0</v>
      </c>
      <c r="W57" s="29">
        <f t="shared" si="11"/>
        <v>0</v>
      </c>
      <c r="X57" s="61">
        <f t="shared" si="12"/>
        <v>0</v>
      </c>
      <c r="Y57" s="61"/>
      <c r="Z57" s="61"/>
      <c r="AA57" s="61"/>
      <c r="AB57" s="61"/>
      <c r="AC57" s="61"/>
      <c r="AD57" s="61"/>
      <c r="AE57" s="49">
        <f t="shared" si="13"/>
        <v>0</v>
      </c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49">
        <f t="shared" si="14"/>
        <v>0</v>
      </c>
    </row>
    <row r="58" spans="1:57" ht="15" customHeight="1" x14ac:dyDescent="0.2">
      <c r="A58" s="36">
        <v>47</v>
      </c>
      <c r="B58" s="59"/>
      <c r="C58" s="38"/>
      <c r="D58" s="38">
        <v>6</v>
      </c>
      <c r="E58" s="39"/>
      <c r="F58" s="40"/>
      <c r="G58" s="49"/>
      <c r="H58" s="60">
        <f t="shared" si="7"/>
        <v>0</v>
      </c>
      <c r="I58" s="49">
        <f t="shared" si="8"/>
        <v>0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49">
        <f t="shared" si="9"/>
        <v>0</v>
      </c>
      <c r="V58" s="29">
        <f t="shared" si="10"/>
        <v>0</v>
      </c>
      <c r="W58" s="29">
        <f t="shared" si="11"/>
        <v>0</v>
      </c>
      <c r="X58" s="61">
        <f t="shared" si="12"/>
        <v>0</v>
      </c>
      <c r="Y58" s="61"/>
      <c r="Z58" s="61"/>
      <c r="AA58" s="61"/>
      <c r="AB58" s="61"/>
      <c r="AC58" s="61"/>
      <c r="AD58" s="61"/>
      <c r="AE58" s="61">
        <f t="shared" si="13"/>
        <v>0</v>
      </c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49">
        <f t="shared" si="14"/>
        <v>0</v>
      </c>
    </row>
    <row r="59" spans="1:57" ht="15" customHeight="1" x14ac:dyDescent="0.2">
      <c r="A59" s="36">
        <v>48</v>
      </c>
      <c r="B59" s="59"/>
      <c r="C59" s="38"/>
      <c r="D59" s="38">
        <v>6</v>
      </c>
      <c r="E59" s="39"/>
      <c r="F59" s="40"/>
      <c r="G59" s="49"/>
      <c r="H59" s="60">
        <f t="shared" si="7"/>
        <v>0</v>
      </c>
      <c r="I59" s="49">
        <f t="shared" si="8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9">
        <f t="shared" si="9"/>
        <v>0</v>
      </c>
      <c r="V59" s="29">
        <f t="shared" si="10"/>
        <v>0</v>
      </c>
      <c r="W59" s="29">
        <f t="shared" si="11"/>
        <v>0</v>
      </c>
      <c r="X59" s="61">
        <f t="shared" si="12"/>
        <v>0</v>
      </c>
      <c r="Y59" s="61"/>
      <c r="Z59" s="61"/>
      <c r="AA59" s="61"/>
      <c r="AB59" s="61"/>
      <c r="AC59" s="61"/>
      <c r="AD59" s="61"/>
      <c r="AE59" s="49">
        <f t="shared" si="13"/>
        <v>0</v>
      </c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49">
        <f t="shared" si="14"/>
        <v>0</v>
      </c>
    </row>
    <row r="60" spans="1:57" ht="15" customHeight="1" x14ac:dyDescent="0.2">
      <c r="A60" s="36">
        <v>49</v>
      </c>
      <c r="B60" s="59"/>
      <c r="C60" s="38"/>
      <c r="D60" s="38">
        <v>6</v>
      </c>
      <c r="E60" s="39"/>
      <c r="F60" s="40"/>
      <c r="G60" s="49"/>
      <c r="H60" s="60">
        <f t="shared" si="7"/>
        <v>0</v>
      </c>
      <c r="I60" s="49">
        <f t="shared" si="8"/>
        <v>0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49">
        <f t="shared" si="9"/>
        <v>0</v>
      </c>
      <c r="V60" s="29">
        <f t="shared" si="10"/>
        <v>0</v>
      </c>
      <c r="W60" s="29">
        <f t="shared" si="11"/>
        <v>0</v>
      </c>
      <c r="X60" s="61">
        <f t="shared" si="12"/>
        <v>0</v>
      </c>
      <c r="Y60" s="61"/>
      <c r="Z60" s="61"/>
      <c r="AA60" s="61"/>
      <c r="AB60" s="61"/>
      <c r="AC60" s="61"/>
      <c r="AD60" s="61"/>
      <c r="AE60" s="61">
        <f t="shared" si="13"/>
        <v>0</v>
      </c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49">
        <f t="shared" si="14"/>
        <v>0</v>
      </c>
    </row>
    <row r="61" spans="1:57" ht="15" customHeight="1" x14ac:dyDescent="0.2">
      <c r="A61" s="36">
        <v>50</v>
      </c>
      <c r="B61" s="59"/>
      <c r="C61" s="38"/>
      <c r="D61" s="38">
        <v>6</v>
      </c>
      <c r="E61" s="39"/>
      <c r="F61" s="40"/>
      <c r="G61" s="49"/>
      <c r="H61" s="60">
        <f t="shared" si="7"/>
        <v>0</v>
      </c>
      <c r="I61" s="49">
        <f t="shared" si="8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49">
        <f t="shared" si="9"/>
        <v>0</v>
      </c>
      <c r="V61" s="29">
        <f t="shared" si="10"/>
        <v>0</v>
      </c>
      <c r="W61" s="29">
        <f t="shared" si="11"/>
        <v>0</v>
      </c>
      <c r="X61" s="61">
        <f t="shared" si="12"/>
        <v>0</v>
      </c>
      <c r="Y61" s="61"/>
      <c r="Z61" s="61"/>
      <c r="AA61" s="61"/>
      <c r="AB61" s="61"/>
      <c r="AC61" s="61"/>
      <c r="AD61" s="61"/>
      <c r="AE61" s="49">
        <f t="shared" si="13"/>
        <v>0</v>
      </c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49">
        <f t="shared" si="14"/>
        <v>0</v>
      </c>
    </row>
    <row r="62" spans="1:57" ht="15" customHeight="1" x14ac:dyDescent="0.2">
      <c r="A62" s="36">
        <v>51</v>
      </c>
      <c r="B62" s="59"/>
      <c r="C62" s="38"/>
      <c r="D62" s="38">
        <v>6</v>
      </c>
      <c r="E62" s="39"/>
      <c r="F62" s="40"/>
      <c r="G62" s="49"/>
      <c r="H62" s="60">
        <f t="shared" si="7"/>
        <v>0</v>
      </c>
      <c r="I62" s="49">
        <f t="shared" si="8"/>
        <v>0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49">
        <f t="shared" si="9"/>
        <v>0</v>
      </c>
      <c r="V62" s="29">
        <f t="shared" si="10"/>
        <v>0</v>
      </c>
      <c r="W62" s="29">
        <f t="shared" si="11"/>
        <v>0</v>
      </c>
      <c r="X62" s="61">
        <f t="shared" si="12"/>
        <v>0</v>
      </c>
      <c r="Y62" s="61"/>
      <c r="Z62" s="61"/>
      <c r="AA62" s="61"/>
      <c r="AB62" s="61"/>
      <c r="AC62" s="61"/>
      <c r="AD62" s="61"/>
      <c r="AE62" s="61">
        <f t="shared" si="13"/>
        <v>0</v>
      </c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49">
        <f t="shared" si="14"/>
        <v>0</v>
      </c>
    </row>
    <row r="63" spans="1:57" ht="15" customHeight="1" x14ac:dyDescent="0.2">
      <c r="A63" s="36">
        <v>52</v>
      </c>
      <c r="B63" s="59"/>
      <c r="C63" s="38"/>
      <c r="D63" s="38">
        <v>6</v>
      </c>
      <c r="E63" s="39"/>
      <c r="F63" s="40"/>
      <c r="G63" s="49"/>
      <c r="H63" s="60">
        <f t="shared" si="7"/>
        <v>0</v>
      </c>
      <c r="I63" s="49">
        <f t="shared" si="8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49">
        <f t="shared" si="9"/>
        <v>0</v>
      </c>
      <c r="V63" s="29">
        <f t="shared" si="10"/>
        <v>0</v>
      </c>
      <c r="W63" s="29">
        <f t="shared" si="11"/>
        <v>0</v>
      </c>
      <c r="X63" s="61">
        <f t="shared" si="12"/>
        <v>0</v>
      </c>
      <c r="Y63" s="61"/>
      <c r="Z63" s="61"/>
      <c r="AA63" s="61"/>
      <c r="AB63" s="61"/>
      <c r="AC63" s="61"/>
      <c r="AD63" s="61"/>
      <c r="AE63" s="49">
        <f t="shared" si="13"/>
        <v>0</v>
      </c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49">
        <f t="shared" si="14"/>
        <v>0</v>
      </c>
    </row>
    <row r="64" spans="1:57" ht="15" customHeight="1" x14ac:dyDescent="0.2">
      <c r="A64" s="36">
        <v>53</v>
      </c>
      <c r="B64" s="59"/>
      <c r="C64" s="38"/>
      <c r="D64" s="38">
        <v>6</v>
      </c>
      <c r="E64" s="39"/>
      <c r="F64" s="40"/>
      <c r="G64" s="49"/>
      <c r="H64" s="60">
        <f t="shared" si="7"/>
        <v>0</v>
      </c>
      <c r="I64" s="49">
        <f t="shared" si="8"/>
        <v>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49">
        <f t="shared" si="9"/>
        <v>0</v>
      </c>
      <c r="V64" s="29">
        <f t="shared" si="10"/>
        <v>0</v>
      </c>
      <c r="W64" s="29">
        <f t="shared" si="11"/>
        <v>0</v>
      </c>
      <c r="X64" s="61">
        <f t="shared" si="12"/>
        <v>0</v>
      </c>
      <c r="Y64" s="61"/>
      <c r="Z64" s="61"/>
      <c r="AA64" s="61"/>
      <c r="AB64" s="61"/>
      <c r="AC64" s="61"/>
      <c r="AD64" s="61"/>
      <c r="AE64" s="61">
        <f t="shared" si="13"/>
        <v>0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49">
        <f t="shared" si="14"/>
        <v>0</v>
      </c>
    </row>
    <row r="65" spans="1:57" ht="15" customHeight="1" x14ac:dyDescent="0.2">
      <c r="A65" s="36">
        <v>54</v>
      </c>
      <c r="B65" s="59"/>
      <c r="C65" s="38"/>
      <c r="D65" s="38">
        <v>6</v>
      </c>
      <c r="E65" s="39"/>
      <c r="F65" s="40"/>
      <c r="G65" s="49"/>
      <c r="H65" s="60">
        <f t="shared" si="7"/>
        <v>0</v>
      </c>
      <c r="I65" s="49">
        <f t="shared" si="8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49">
        <f t="shared" si="9"/>
        <v>0</v>
      </c>
      <c r="V65" s="29">
        <f t="shared" si="10"/>
        <v>0</v>
      </c>
      <c r="W65" s="29">
        <f t="shared" si="11"/>
        <v>0</v>
      </c>
      <c r="X65" s="61">
        <f t="shared" si="12"/>
        <v>0</v>
      </c>
      <c r="Y65" s="61"/>
      <c r="Z65" s="61"/>
      <c r="AA65" s="61"/>
      <c r="AB65" s="61"/>
      <c r="AC65" s="61"/>
      <c r="AD65" s="61"/>
      <c r="AE65" s="49">
        <f t="shared" si="13"/>
        <v>0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49">
        <f t="shared" si="14"/>
        <v>0</v>
      </c>
    </row>
    <row r="66" spans="1:57" ht="15" customHeight="1" x14ac:dyDescent="0.2">
      <c r="A66" s="36">
        <v>55</v>
      </c>
      <c r="B66" s="59"/>
      <c r="C66" s="38"/>
      <c r="D66" s="38">
        <v>6</v>
      </c>
      <c r="E66" s="39"/>
      <c r="F66" s="40"/>
      <c r="G66" s="49"/>
      <c r="H66" s="60">
        <f t="shared" si="7"/>
        <v>0</v>
      </c>
      <c r="I66" s="49">
        <f t="shared" si="8"/>
        <v>0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49">
        <f t="shared" si="9"/>
        <v>0</v>
      </c>
      <c r="V66" s="29">
        <f t="shared" si="10"/>
        <v>0</v>
      </c>
      <c r="W66" s="29">
        <f t="shared" si="11"/>
        <v>0</v>
      </c>
      <c r="X66" s="61">
        <f t="shared" si="12"/>
        <v>0</v>
      </c>
      <c r="Y66" s="61"/>
      <c r="Z66" s="61"/>
      <c r="AA66" s="61"/>
      <c r="AB66" s="61"/>
      <c r="AC66" s="61"/>
      <c r="AD66" s="61"/>
      <c r="AE66" s="61">
        <f t="shared" si="13"/>
        <v>0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49">
        <f t="shared" si="14"/>
        <v>0</v>
      </c>
    </row>
    <row r="67" spans="1:57" ht="15" customHeight="1" x14ac:dyDescent="0.2">
      <c r="A67" s="36">
        <v>56</v>
      </c>
      <c r="B67" s="59"/>
      <c r="C67" s="38"/>
      <c r="D67" s="38">
        <v>6</v>
      </c>
      <c r="E67" s="39"/>
      <c r="F67" s="40"/>
      <c r="G67" s="49"/>
      <c r="H67" s="60">
        <f t="shared" si="7"/>
        <v>0</v>
      </c>
      <c r="I67" s="49">
        <f t="shared" si="8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49">
        <f t="shared" si="9"/>
        <v>0</v>
      </c>
      <c r="V67" s="29">
        <f t="shared" si="10"/>
        <v>0</v>
      </c>
      <c r="W67" s="29">
        <f t="shared" si="11"/>
        <v>0</v>
      </c>
      <c r="X67" s="61">
        <f t="shared" si="12"/>
        <v>0</v>
      </c>
      <c r="Y67" s="61"/>
      <c r="Z67" s="61"/>
      <c r="AA67" s="61"/>
      <c r="AB67" s="61"/>
      <c r="AC67" s="61"/>
      <c r="AD67" s="61"/>
      <c r="AE67" s="49">
        <f t="shared" si="13"/>
        <v>0</v>
      </c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49">
        <f t="shared" si="14"/>
        <v>0</v>
      </c>
    </row>
    <row r="68" spans="1:57" ht="15" customHeight="1" x14ac:dyDescent="0.2">
      <c r="A68" s="36">
        <v>57</v>
      </c>
      <c r="B68" s="59"/>
      <c r="C68" s="38"/>
      <c r="D68" s="38">
        <v>6</v>
      </c>
      <c r="E68" s="39"/>
      <c r="F68" s="40"/>
      <c r="G68" s="49"/>
      <c r="H68" s="60">
        <f t="shared" si="7"/>
        <v>0</v>
      </c>
      <c r="I68" s="49">
        <f t="shared" si="8"/>
        <v>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49">
        <f t="shared" si="9"/>
        <v>0</v>
      </c>
      <c r="V68" s="29">
        <f t="shared" si="10"/>
        <v>0</v>
      </c>
      <c r="W68" s="29">
        <f t="shared" si="11"/>
        <v>0</v>
      </c>
      <c r="X68" s="61">
        <f t="shared" si="12"/>
        <v>0</v>
      </c>
      <c r="Y68" s="61"/>
      <c r="Z68" s="61"/>
      <c r="AA68" s="61"/>
      <c r="AB68" s="61"/>
      <c r="AC68" s="61"/>
      <c r="AD68" s="61"/>
      <c r="AE68" s="61">
        <f t="shared" si="13"/>
        <v>0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49">
        <f t="shared" si="14"/>
        <v>0</v>
      </c>
    </row>
    <row r="69" spans="1:57" ht="15" customHeight="1" x14ac:dyDescent="0.2">
      <c r="A69" s="36">
        <v>58</v>
      </c>
      <c r="B69" s="59"/>
      <c r="C69" s="38"/>
      <c r="D69" s="38">
        <v>6</v>
      </c>
      <c r="E69" s="39"/>
      <c r="F69" s="40"/>
      <c r="G69" s="49"/>
      <c r="H69" s="60">
        <f t="shared" si="7"/>
        <v>0</v>
      </c>
      <c r="I69" s="49">
        <f t="shared" si="8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49">
        <f t="shared" si="9"/>
        <v>0</v>
      </c>
      <c r="V69" s="29">
        <f t="shared" si="10"/>
        <v>0</v>
      </c>
      <c r="W69" s="29">
        <f t="shared" si="11"/>
        <v>0</v>
      </c>
      <c r="X69" s="61">
        <f t="shared" si="12"/>
        <v>0</v>
      </c>
      <c r="Y69" s="61"/>
      <c r="Z69" s="61"/>
      <c r="AA69" s="61"/>
      <c r="AB69" s="61"/>
      <c r="AC69" s="61"/>
      <c r="AD69" s="61"/>
      <c r="AE69" s="49">
        <f t="shared" si="13"/>
        <v>0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49">
        <f t="shared" si="14"/>
        <v>0</v>
      </c>
    </row>
    <row r="70" spans="1:57" ht="15" customHeight="1" x14ac:dyDescent="0.2">
      <c r="A70" s="36">
        <v>59</v>
      </c>
      <c r="B70" s="59"/>
      <c r="C70" s="38"/>
      <c r="D70" s="38">
        <v>6</v>
      </c>
      <c r="E70" s="39"/>
      <c r="F70" s="40"/>
      <c r="G70" s="49"/>
      <c r="H70" s="60">
        <f t="shared" si="7"/>
        <v>0</v>
      </c>
      <c r="I70" s="49">
        <f t="shared" si="8"/>
        <v>0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49">
        <f t="shared" si="9"/>
        <v>0</v>
      </c>
      <c r="V70" s="29">
        <f t="shared" si="10"/>
        <v>0</v>
      </c>
      <c r="W70" s="29">
        <f t="shared" si="11"/>
        <v>0</v>
      </c>
      <c r="X70" s="61">
        <f t="shared" si="12"/>
        <v>0</v>
      </c>
      <c r="Y70" s="61"/>
      <c r="Z70" s="61"/>
      <c r="AA70" s="61"/>
      <c r="AB70" s="61"/>
      <c r="AC70" s="61"/>
      <c r="AD70" s="61"/>
      <c r="AE70" s="61">
        <f t="shared" si="13"/>
        <v>0</v>
      </c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49">
        <f t="shared" si="14"/>
        <v>0</v>
      </c>
    </row>
    <row r="71" spans="1:57" ht="15" customHeight="1" x14ac:dyDescent="0.2">
      <c r="A71" s="36">
        <v>60</v>
      </c>
      <c r="B71" s="59"/>
      <c r="C71" s="38"/>
      <c r="D71" s="38">
        <v>6</v>
      </c>
      <c r="E71" s="39"/>
      <c r="F71" s="40"/>
      <c r="G71" s="49"/>
      <c r="H71" s="60">
        <f t="shared" si="7"/>
        <v>0</v>
      </c>
      <c r="I71" s="49">
        <f t="shared" si="8"/>
        <v>0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49">
        <f t="shared" si="9"/>
        <v>0</v>
      </c>
      <c r="V71" s="29">
        <f t="shared" si="10"/>
        <v>0</v>
      </c>
      <c r="W71" s="29">
        <f t="shared" si="11"/>
        <v>0</v>
      </c>
      <c r="X71" s="61">
        <f t="shared" si="12"/>
        <v>0</v>
      </c>
      <c r="Y71" s="61"/>
      <c r="Z71" s="61"/>
      <c r="AA71" s="61"/>
      <c r="AB71" s="61"/>
      <c r="AC71" s="61"/>
      <c r="AD71" s="61"/>
      <c r="AE71" s="49">
        <f t="shared" si="13"/>
        <v>0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49">
        <f t="shared" si="14"/>
        <v>0</v>
      </c>
    </row>
    <row r="72" spans="1:57" ht="15" customHeight="1" x14ac:dyDescent="0.2">
      <c r="A72" s="36">
        <v>61</v>
      </c>
      <c r="B72" s="59"/>
      <c r="C72" s="38"/>
      <c r="D72" s="38">
        <v>6</v>
      </c>
      <c r="E72" s="39"/>
      <c r="F72" s="40"/>
      <c r="G72" s="49"/>
      <c r="H72" s="60">
        <f t="shared" si="7"/>
        <v>0</v>
      </c>
      <c r="I72" s="49">
        <f t="shared" si="8"/>
        <v>0</v>
      </c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49">
        <f t="shared" si="9"/>
        <v>0</v>
      </c>
      <c r="V72" s="29">
        <f t="shared" si="10"/>
        <v>0</v>
      </c>
      <c r="W72" s="29">
        <f t="shared" si="11"/>
        <v>0</v>
      </c>
      <c r="X72" s="61">
        <f t="shared" si="12"/>
        <v>0</v>
      </c>
      <c r="Y72" s="61"/>
      <c r="Z72" s="61"/>
      <c r="AA72" s="61"/>
      <c r="AB72" s="61"/>
      <c r="AC72" s="61"/>
      <c r="AD72" s="61"/>
      <c r="AE72" s="61">
        <f t="shared" si="13"/>
        <v>0</v>
      </c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49">
        <f t="shared" si="14"/>
        <v>0</v>
      </c>
    </row>
    <row r="73" spans="1:57" ht="15" customHeight="1" x14ac:dyDescent="0.2">
      <c r="A73" s="36">
        <v>62</v>
      </c>
      <c r="B73" s="59"/>
      <c r="C73" s="38"/>
      <c r="D73" s="38">
        <v>6</v>
      </c>
      <c r="E73" s="39"/>
      <c r="F73" s="40"/>
      <c r="G73" s="49"/>
      <c r="H73" s="60">
        <f t="shared" si="7"/>
        <v>0</v>
      </c>
      <c r="I73" s="49">
        <f t="shared" si="8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49">
        <f t="shared" si="9"/>
        <v>0</v>
      </c>
      <c r="V73" s="29">
        <f t="shared" si="10"/>
        <v>0</v>
      </c>
      <c r="W73" s="29">
        <f t="shared" si="11"/>
        <v>0</v>
      </c>
      <c r="X73" s="61">
        <f t="shared" si="12"/>
        <v>0</v>
      </c>
      <c r="Y73" s="61"/>
      <c r="Z73" s="61"/>
      <c r="AA73" s="61"/>
      <c r="AB73" s="61"/>
      <c r="AC73" s="61"/>
      <c r="AD73" s="61"/>
      <c r="AE73" s="49">
        <f t="shared" si="13"/>
        <v>0</v>
      </c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49">
        <f t="shared" si="14"/>
        <v>0</v>
      </c>
    </row>
    <row r="74" spans="1:57" ht="15" customHeight="1" x14ac:dyDescent="0.2">
      <c r="A74" s="36">
        <v>63</v>
      </c>
      <c r="B74" s="59"/>
      <c r="C74" s="38"/>
      <c r="D74" s="38">
        <v>6</v>
      </c>
      <c r="E74" s="39"/>
      <c r="F74" s="40"/>
      <c r="G74" s="49"/>
      <c r="H74" s="60">
        <f t="shared" si="7"/>
        <v>0</v>
      </c>
      <c r="I74" s="49">
        <f t="shared" si="8"/>
        <v>0</v>
      </c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49">
        <f t="shared" si="9"/>
        <v>0</v>
      </c>
      <c r="V74" s="29">
        <f t="shared" si="10"/>
        <v>0</v>
      </c>
      <c r="W74" s="29">
        <f t="shared" si="11"/>
        <v>0</v>
      </c>
      <c r="X74" s="61">
        <f t="shared" si="12"/>
        <v>0</v>
      </c>
      <c r="Y74" s="61"/>
      <c r="Z74" s="61"/>
      <c r="AA74" s="61"/>
      <c r="AB74" s="61"/>
      <c r="AC74" s="61"/>
      <c r="AD74" s="61"/>
      <c r="AE74" s="61">
        <f t="shared" si="13"/>
        <v>0</v>
      </c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49">
        <f t="shared" si="14"/>
        <v>0</v>
      </c>
    </row>
    <row r="75" spans="1:57" ht="15" customHeight="1" x14ac:dyDescent="0.2">
      <c r="A75" s="36">
        <v>64</v>
      </c>
      <c r="B75" s="59"/>
      <c r="C75" s="38"/>
      <c r="D75" s="38">
        <v>6</v>
      </c>
      <c r="E75" s="39"/>
      <c r="F75" s="40"/>
      <c r="G75" s="49"/>
      <c r="H75" s="60">
        <f t="shared" si="7"/>
        <v>0</v>
      </c>
      <c r="I75" s="49">
        <f t="shared" si="8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49">
        <f t="shared" si="9"/>
        <v>0</v>
      </c>
      <c r="V75" s="29">
        <f t="shared" si="10"/>
        <v>0</v>
      </c>
      <c r="W75" s="29">
        <f t="shared" si="11"/>
        <v>0</v>
      </c>
      <c r="X75" s="61">
        <f t="shared" si="12"/>
        <v>0</v>
      </c>
      <c r="Y75" s="61"/>
      <c r="Z75" s="61"/>
      <c r="AA75" s="61"/>
      <c r="AB75" s="61"/>
      <c r="AC75" s="61"/>
      <c r="AD75" s="61"/>
      <c r="AE75" s="49">
        <f t="shared" si="13"/>
        <v>0</v>
      </c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49">
        <f t="shared" si="14"/>
        <v>0</v>
      </c>
    </row>
    <row r="76" spans="1:57" ht="15" customHeight="1" x14ac:dyDescent="0.2">
      <c r="A76" s="36">
        <v>65</v>
      </c>
      <c r="B76" s="59"/>
      <c r="C76" s="38"/>
      <c r="D76" s="38">
        <v>6</v>
      </c>
      <c r="E76" s="39"/>
      <c r="F76" s="40"/>
      <c r="G76" s="49"/>
      <c r="H76" s="60">
        <f t="shared" si="7"/>
        <v>0</v>
      </c>
      <c r="I76" s="49">
        <f t="shared" si="8"/>
        <v>0</v>
      </c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49">
        <f t="shared" si="9"/>
        <v>0</v>
      </c>
      <c r="V76" s="29">
        <f t="shared" si="10"/>
        <v>0</v>
      </c>
      <c r="W76" s="29">
        <f t="shared" si="11"/>
        <v>0</v>
      </c>
      <c r="X76" s="61">
        <f t="shared" si="12"/>
        <v>0</v>
      </c>
      <c r="Y76" s="61"/>
      <c r="Z76" s="61"/>
      <c r="AA76" s="61"/>
      <c r="AB76" s="61"/>
      <c r="AC76" s="61"/>
      <c r="AD76" s="61"/>
      <c r="AE76" s="61">
        <f t="shared" si="13"/>
        <v>0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49">
        <f t="shared" si="14"/>
        <v>0</v>
      </c>
    </row>
    <row r="77" spans="1:57" ht="15" customHeight="1" x14ac:dyDescent="0.2">
      <c r="A77" s="36">
        <v>66</v>
      </c>
      <c r="B77" s="59"/>
      <c r="C77" s="38"/>
      <c r="D77" s="38">
        <v>6</v>
      </c>
      <c r="E77" s="39"/>
      <c r="F77" s="40"/>
      <c r="G77" s="49"/>
      <c r="H77" s="60">
        <f t="shared" si="7"/>
        <v>0</v>
      </c>
      <c r="I77" s="49">
        <f t="shared" si="8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49">
        <f t="shared" si="9"/>
        <v>0</v>
      </c>
      <c r="V77" s="29">
        <f t="shared" si="10"/>
        <v>0</v>
      </c>
      <c r="W77" s="29">
        <f t="shared" si="11"/>
        <v>0</v>
      </c>
      <c r="X77" s="61">
        <f t="shared" si="12"/>
        <v>0</v>
      </c>
      <c r="Y77" s="61"/>
      <c r="Z77" s="61"/>
      <c r="AA77" s="61"/>
      <c r="AB77" s="61"/>
      <c r="AC77" s="61"/>
      <c r="AD77" s="61"/>
      <c r="AE77" s="49">
        <f t="shared" si="13"/>
        <v>0</v>
      </c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49">
        <f t="shared" si="14"/>
        <v>0</v>
      </c>
    </row>
    <row r="78" spans="1:57" ht="15" customHeight="1" x14ac:dyDescent="0.2">
      <c r="A78" s="36">
        <v>67</v>
      </c>
      <c r="B78" s="59"/>
      <c r="C78" s="38"/>
      <c r="D78" s="38">
        <v>6</v>
      </c>
      <c r="E78" s="39"/>
      <c r="F78" s="40"/>
      <c r="G78" s="49"/>
      <c r="H78" s="60">
        <f t="shared" si="7"/>
        <v>0</v>
      </c>
      <c r="I78" s="49">
        <f t="shared" si="8"/>
        <v>0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49">
        <f t="shared" si="9"/>
        <v>0</v>
      </c>
      <c r="V78" s="29">
        <f t="shared" si="10"/>
        <v>0</v>
      </c>
      <c r="W78" s="29">
        <f t="shared" si="11"/>
        <v>0</v>
      </c>
      <c r="X78" s="61">
        <f t="shared" si="12"/>
        <v>0</v>
      </c>
      <c r="Y78" s="61"/>
      <c r="Z78" s="61"/>
      <c r="AA78" s="61"/>
      <c r="AB78" s="61"/>
      <c r="AC78" s="61"/>
      <c r="AD78" s="61"/>
      <c r="AE78" s="61">
        <f t="shared" si="13"/>
        <v>0</v>
      </c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49">
        <f t="shared" si="14"/>
        <v>0</v>
      </c>
    </row>
    <row r="79" spans="1:57" ht="15" customHeight="1" x14ac:dyDescent="0.2">
      <c r="A79" s="36">
        <v>68</v>
      </c>
      <c r="B79" s="59"/>
      <c r="C79" s="38"/>
      <c r="D79" s="38">
        <v>6</v>
      </c>
      <c r="E79" s="39"/>
      <c r="F79" s="40"/>
      <c r="G79" s="49"/>
      <c r="H79" s="60">
        <f t="shared" ref="H79" si="15">I79+U79</f>
        <v>0</v>
      </c>
      <c r="I79" s="49">
        <f t="shared" ref="I79" si="16">SUM(J79:T79)</f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49">
        <f t="shared" ref="U79" si="17">X79+AE79</f>
        <v>0</v>
      </c>
      <c r="V79" s="29">
        <f t="shared" ref="V79" si="18">IF(H79,U79/H79,0)</f>
        <v>0</v>
      </c>
      <c r="W79" s="29">
        <f t="shared" ref="W79" si="19">IF(H79,I79/H79,0)</f>
        <v>0</v>
      </c>
      <c r="X79" s="61">
        <f t="shared" ref="X79" si="20">SUM(Y79:AD79)</f>
        <v>0</v>
      </c>
      <c r="Y79" s="61"/>
      <c r="Z79" s="61"/>
      <c r="AA79" s="61"/>
      <c r="AB79" s="61"/>
      <c r="AC79" s="61"/>
      <c r="AD79" s="61"/>
      <c r="AE79" s="49">
        <f t="shared" ref="AE79" si="21">SUM(AF79:BD79)</f>
        <v>0</v>
      </c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49">
        <f t="shared" ref="BE79" si="22">I79+AE79</f>
        <v>0</v>
      </c>
    </row>
    <row r="80" spans="1:57" ht="15" customHeight="1" thickBot="1" x14ac:dyDescent="0.25">
      <c r="C80" s="41" t="s">
        <v>2</v>
      </c>
      <c r="D80" s="42"/>
      <c r="E80" s="43"/>
      <c r="F80" s="48">
        <f>SUM(F12:F79)</f>
        <v>0</v>
      </c>
      <c r="G80" s="44"/>
      <c r="H80" s="44">
        <f t="shared" ref="H80:U80" si="23">SUM(H12:H79)</f>
        <v>0</v>
      </c>
      <c r="I80" s="44">
        <f t="shared" si="23"/>
        <v>0</v>
      </c>
      <c r="J80" s="44">
        <f t="shared" si="23"/>
        <v>0</v>
      </c>
      <c r="K80" s="44">
        <f t="shared" si="23"/>
        <v>0</v>
      </c>
      <c r="L80" s="44">
        <f t="shared" si="23"/>
        <v>0</v>
      </c>
      <c r="M80" s="44">
        <f t="shared" si="23"/>
        <v>0</v>
      </c>
      <c r="N80" s="44">
        <f t="shared" si="23"/>
        <v>0</v>
      </c>
      <c r="O80" s="44">
        <f t="shared" si="23"/>
        <v>0</v>
      </c>
      <c r="P80" s="44">
        <f t="shared" si="23"/>
        <v>0</v>
      </c>
      <c r="Q80" s="44">
        <f t="shared" si="23"/>
        <v>0</v>
      </c>
      <c r="R80" s="44">
        <f t="shared" si="23"/>
        <v>0</v>
      </c>
      <c r="S80" s="44">
        <f t="shared" si="23"/>
        <v>0</v>
      </c>
      <c r="T80" s="44">
        <f t="shared" si="23"/>
        <v>0</v>
      </c>
      <c r="U80" s="44">
        <f t="shared" si="23"/>
        <v>0</v>
      </c>
      <c r="V80" s="45">
        <f t="shared" si="2"/>
        <v>0</v>
      </c>
      <c r="W80" s="45">
        <f t="shared" si="3"/>
        <v>0</v>
      </c>
      <c r="X80" s="44">
        <f>SUM(X12:X79)</f>
        <v>0</v>
      </c>
      <c r="Y80" s="44">
        <f>SUM(Y12:Y79)</f>
        <v>0</v>
      </c>
      <c r="Z80" s="44">
        <f>SUM(Z12:Z79)</f>
        <v>0</v>
      </c>
      <c r="AA80" s="44">
        <f t="shared" ref="AA80:AD80" si="24">SUM(AA12:AA79)</f>
        <v>0</v>
      </c>
      <c r="AB80" s="44">
        <f t="shared" si="24"/>
        <v>0</v>
      </c>
      <c r="AC80" s="44">
        <f t="shared" si="24"/>
        <v>0</v>
      </c>
      <c r="AD80" s="44">
        <f t="shared" si="24"/>
        <v>0</v>
      </c>
      <c r="AE80" s="44">
        <f t="shared" ref="AE80:BE80" si="25">SUM(AE12:AE79)</f>
        <v>0</v>
      </c>
      <c r="AF80" s="44">
        <f t="shared" si="25"/>
        <v>0</v>
      </c>
      <c r="AG80" s="44">
        <f t="shared" si="25"/>
        <v>0</v>
      </c>
      <c r="AH80" s="44">
        <f t="shared" si="25"/>
        <v>0</v>
      </c>
      <c r="AI80" s="44">
        <f t="shared" si="25"/>
        <v>0</v>
      </c>
      <c r="AJ80" s="44">
        <f t="shared" si="25"/>
        <v>0</v>
      </c>
      <c r="AK80" s="44">
        <f t="shared" si="25"/>
        <v>0</v>
      </c>
      <c r="AL80" s="44">
        <f t="shared" si="25"/>
        <v>0</v>
      </c>
      <c r="AM80" s="44">
        <f t="shared" si="25"/>
        <v>0</v>
      </c>
      <c r="AN80" s="44">
        <f t="shared" si="25"/>
        <v>0</v>
      </c>
      <c r="AO80" s="44">
        <f t="shared" si="25"/>
        <v>0</v>
      </c>
      <c r="AP80" s="44">
        <f t="shared" si="25"/>
        <v>0</v>
      </c>
      <c r="AQ80" s="44">
        <f t="shared" si="25"/>
        <v>0</v>
      </c>
      <c r="AR80" s="44">
        <f t="shared" si="25"/>
        <v>0</v>
      </c>
      <c r="AS80" s="44">
        <f t="shared" si="25"/>
        <v>0</v>
      </c>
      <c r="AT80" s="44">
        <f t="shared" si="25"/>
        <v>0</v>
      </c>
      <c r="AU80" s="44">
        <f t="shared" si="25"/>
        <v>0</v>
      </c>
      <c r="AV80" s="44">
        <f t="shared" si="25"/>
        <v>0</v>
      </c>
      <c r="AW80" s="44">
        <f t="shared" si="25"/>
        <v>0</v>
      </c>
      <c r="AX80" s="44">
        <f t="shared" si="25"/>
        <v>0</v>
      </c>
      <c r="AY80" s="44">
        <f t="shared" si="25"/>
        <v>0</v>
      </c>
      <c r="AZ80" s="44">
        <f t="shared" si="25"/>
        <v>0</v>
      </c>
      <c r="BA80" s="44">
        <f t="shared" si="25"/>
        <v>0</v>
      </c>
      <c r="BB80" s="44">
        <f t="shared" si="25"/>
        <v>0</v>
      </c>
      <c r="BC80" s="44">
        <f t="shared" si="25"/>
        <v>0</v>
      </c>
      <c r="BD80" s="44">
        <f t="shared" si="25"/>
        <v>0</v>
      </c>
      <c r="BE80" s="46">
        <f t="shared" si="25"/>
        <v>0</v>
      </c>
    </row>
    <row r="81" spans="3:57" ht="16" thickBot="1" x14ac:dyDescent="0.25">
      <c r="BA81" s="2"/>
      <c r="BB81" s="2"/>
      <c r="BC81" s="1"/>
    </row>
    <row r="82" spans="3:57" x14ac:dyDescent="0.2">
      <c r="C82" s="22" t="s">
        <v>9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25"/>
    </row>
    <row r="83" spans="3:57" x14ac:dyDescent="0.2">
      <c r="C83" s="23"/>
      <c r="BE83" s="26"/>
    </row>
    <row r="84" spans="3:57" x14ac:dyDescent="0.2">
      <c r="C84" s="23"/>
      <c r="BE84" s="26"/>
    </row>
    <row r="85" spans="3:57" x14ac:dyDescent="0.2">
      <c r="C85" s="23"/>
      <c r="BE85" s="26"/>
    </row>
    <row r="86" spans="3:57" x14ac:dyDescent="0.2">
      <c r="C86" s="23" t="str">
        <f>'RELATÓRIO APROV. DE LEGÍVEIS'!C421</f>
        <v>GOIÂNIA, 01 DE SETEMBRO DE 2024</v>
      </c>
      <c r="BE86" s="26"/>
    </row>
    <row r="87" spans="3:57" ht="16" thickBot="1" x14ac:dyDescent="0.25">
      <c r="C87" s="24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27"/>
    </row>
  </sheetData>
  <autoFilter ref="A11:BE80" xr:uid="{00000000-0009-0000-0000-000000000000}">
    <filterColumn colId="9" showButton="0"/>
    <filterColumn colId="10" showButton="0"/>
    <filterColumn colId="1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showButton="0"/>
    <filterColumn colId="18" showButton="0"/>
    <filterColumn colId="1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hiddenButton="1" showButton="0"/>
    <filterColumn colId="41" showButton="0"/>
    <filterColumn colId="42" hiddenButton="1" showButton="0"/>
    <filterColumn colId="43" hiddenButton="1" showButton="0"/>
    <filterColumn colId="44" hiddenButton="1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</autoFilter>
  <mergeCells count="13">
    <mergeCell ref="AD6:AO6"/>
    <mergeCell ref="C7:L7"/>
    <mergeCell ref="U7:AB7"/>
    <mergeCell ref="C10:H10"/>
    <mergeCell ref="J11:T11"/>
    <mergeCell ref="AF11:BD11"/>
    <mergeCell ref="C6:R6"/>
    <mergeCell ref="U6:AB6"/>
    <mergeCell ref="C3:R4"/>
    <mergeCell ref="U3:AB3"/>
    <mergeCell ref="U4:AB4"/>
    <mergeCell ref="C5:L5"/>
    <mergeCell ref="U5:AB5"/>
  </mergeCells>
  <conditionalFormatting sqref="H12:H79">
    <cfRule type="cellIs" dxfId="0" priority="1" operator="equal">
      <formula>0</formula>
    </cfRule>
  </conditionalFormatting>
  <printOptions horizontalCentered="1"/>
  <pageMargins left="0.27559055118110237" right="0.31496062992125984" top="0.43307086614173229" bottom="1.299212598425197" header="0.31496062992125984" footer="0.23622047244094491"/>
  <pageSetup paperSize="8" scale="51" fitToHeight="10" orientation="landscape" r:id="rId1"/>
  <headerFooter>
    <oddHeader>&amp;R&amp;8Página &amp;P de &amp;N</oddHeader>
    <oddFooter>Página &amp;P de &amp;N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1"/>
  <sheetViews>
    <sheetView showGridLines="0" zoomScale="90" zoomScaleNormal="90" workbookViewId="0">
      <selection activeCell="AJ7" sqref="AJ7"/>
    </sheetView>
  </sheetViews>
  <sheetFormatPr baseColWidth="10" defaultColWidth="8.83203125" defaultRowHeight="15" x14ac:dyDescent="0.2"/>
  <cols>
    <col min="1" max="1" width="4.83203125" customWidth="1"/>
    <col min="2" max="3" width="14.1640625" customWidth="1"/>
    <col min="4" max="6" width="14.1640625" style="47" customWidth="1"/>
    <col min="7" max="7" width="12.33203125" style="47" customWidth="1"/>
    <col min="8" max="18" width="4.83203125" style="47" customWidth="1"/>
    <col min="19" max="28" width="10" customWidth="1"/>
    <col min="29" max="29" width="8" customWidth="1"/>
    <col min="30" max="54" width="4" style="47" customWidth="1"/>
    <col min="55" max="55" width="8.83203125" style="47"/>
    <col min="56" max="56" width="13" customWidth="1"/>
    <col min="62" max="62" width="12" bestFit="1" customWidth="1"/>
  </cols>
  <sheetData>
    <row r="1" spans="1:55" ht="137.25" customHeight="1" thickBot="1" x14ac:dyDescent="0.25">
      <c r="B1" s="75"/>
      <c r="C1" s="75"/>
      <c r="D1" s="75"/>
      <c r="E1" s="51"/>
      <c r="F1" s="50"/>
      <c r="H1" s="8" t="s">
        <v>82</v>
      </c>
      <c r="I1" s="8" t="s">
        <v>83</v>
      </c>
      <c r="J1" s="8" t="s">
        <v>48</v>
      </c>
      <c r="K1" s="8" t="s">
        <v>20</v>
      </c>
      <c r="L1" s="8" t="s">
        <v>84</v>
      </c>
      <c r="M1" s="8" t="s">
        <v>50</v>
      </c>
      <c r="N1" s="8" t="s">
        <v>21</v>
      </c>
      <c r="O1" s="8" t="s">
        <v>51</v>
      </c>
      <c r="P1" s="8" t="s">
        <v>85</v>
      </c>
      <c r="Q1" s="8" t="s">
        <v>86</v>
      </c>
      <c r="R1" s="8" t="s">
        <v>49</v>
      </c>
      <c r="AD1" s="3" t="s">
        <v>377</v>
      </c>
      <c r="AE1" s="3" t="s">
        <v>60</v>
      </c>
      <c r="AF1" s="3" t="s">
        <v>378</v>
      </c>
      <c r="AG1" s="3" t="s">
        <v>379</v>
      </c>
      <c r="AH1" s="3" t="s">
        <v>380</v>
      </c>
      <c r="AI1" s="3" t="s">
        <v>381</v>
      </c>
      <c r="AJ1" s="3" t="s">
        <v>52</v>
      </c>
      <c r="AK1" s="3" t="s">
        <v>382</v>
      </c>
      <c r="AL1" s="3" t="s">
        <v>383</v>
      </c>
      <c r="AM1" s="3" t="s">
        <v>22</v>
      </c>
      <c r="AN1" s="3" t="s">
        <v>384</v>
      </c>
      <c r="AO1" s="3" t="s">
        <v>53</v>
      </c>
      <c r="AP1" s="3" t="s">
        <v>385</v>
      </c>
      <c r="AQ1" s="3" t="s">
        <v>386</v>
      </c>
      <c r="AR1" s="3" t="s">
        <v>54</v>
      </c>
      <c r="AS1" s="3" t="s">
        <v>55</v>
      </c>
      <c r="AT1" s="3" t="s">
        <v>387</v>
      </c>
      <c r="AU1" s="3" t="s">
        <v>23</v>
      </c>
      <c r="AV1" s="3" t="s">
        <v>56</v>
      </c>
      <c r="AW1" s="3" t="s">
        <v>57</v>
      </c>
      <c r="AX1" s="3" t="s">
        <v>58</v>
      </c>
      <c r="AY1" s="3" t="s">
        <v>59</v>
      </c>
      <c r="AZ1" s="3" t="s">
        <v>388</v>
      </c>
      <c r="BA1" s="3" t="s">
        <v>389</v>
      </c>
      <c r="BB1" s="3" t="s">
        <v>390</v>
      </c>
    </row>
    <row r="2" spans="1:55" x14ac:dyDescent="0.2">
      <c r="A2" s="32"/>
      <c r="B2" s="33" t="s">
        <v>11</v>
      </c>
      <c r="C2" s="34" t="str">
        <f>'RELATÓRIO APROV. DE LEGÍVEIS'!D11</f>
        <v>ITEM</v>
      </c>
      <c r="D2" s="34" t="str">
        <f>'RELATÓRIO APROV. DE LEGÍVEIS'!F11</f>
        <v>Fluxo</v>
      </c>
      <c r="E2" s="34" t="str">
        <f>'RELATÓRIO APROV. DE LEGÍVEIS'!G11</f>
        <v>Dias Func.</v>
      </c>
      <c r="F2" s="34" t="str">
        <f>'RELATÓRIO APROV. DE LEGÍVEIS'!H11</f>
        <v>Registros</v>
      </c>
      <c r="G2" s="34" t="str">
        <f>'RELATÓRIO APROV. DE LEGÍVEIS'!I11</f>
        <v>Ilegíveis</v>
      </c>
      <c r="H2" s="73" t="str">
        <f>'RELATÓRIO APROV. DE LEGÍVEIS'!J11</f>
        <v>Erro Técnico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34" t="str">
        <f>'RELATÓRIO APROV. DE LEGÍVEIS'!U11</f>
        <v>Legíveis</v>
      </c>
      <c r="T2" s="34" t="str">
        <f>'RELATÓRIO APROV. DE LEGÍVEIS'!V11</f>
        <v>% Medido</v>
      </c>
      <c r="U2" s="34" t="str">
        <f>'RELATÓRIO APROV. DE LEGÍVEIS'!W11</f>
        <v>% Perda</v>
      </c>
      <c r="V2" s="34" t="str">
        <f>'RELATÓRIO APROV. DE LEGÍVEIS'!X11</f>
        <v>Válidas</v>
      </c>
      <c r="W2" s="34">
        <f>'RELATÓRIO APROV. DE LEGÍVEIS'!Y11</f>
        <v>56732</v>
      </c>
      <c r="X2" s="34">
        <f>'RELATÓRIO APROV. DE LEGÍVEIS'!Z11</f>
        <v>60503</v>
      </c>
      <c r="Y2" s="34">
        <f>'RELATÓRIO APROV. DE LEGÍVEIS'!AA11</f>
        <v>74550</v>
      </c>
      <c r="Z2" s="34">
        <f>'RELATÓRIO APROV. DE LEGÍVEIS'!AB11</f>
        <v>74630</v>
      </c>
      <c r="AA2" s="34">
        <f>'RELATÓRIO APROV. DE LEGÍVEIS'!AC11</f>
        <v>74710</v>
      </c>
      <c r="AB2" s="34">
        <f>'RELATÓRIO APROV. DE LEGÍVEIS'!AD11</f>
        <v>75870</v>
      </c>
      <c r="AC2" s="34" t="str">
        <f>'RELATÓRIO APROV. DE LEGÍVEIS'!AE11</f>
        <v>Inválidas</v>
      </c>
      <c r="AD2" s="73" t="s">
        <v>5</v>
      </c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33" t="s">
        <v>0</v>
      </c>
    </row>
    <row r="3" spans="1:55" x14ac:dyDescent="0.2">
      <c r="A3" s="31"/>
      <c r="B3" s="31"/>
      <c r="C3" s="35" t="s">
        <v>14</v>
      </c>
      <c r="D3" s="49">
        <f>'RELATÓRIO APROV. DE LEGÍVEIS'!F415</f>
        <v>2354818</v>
      </c>
      <c r="E3" s="39">
        <v>11</v>
      </c>
      <c r="F3" s="49">
        <f>'RELATÓRIO APROV. DE LEGÍVEIS'!H415</f>
        <v>10246</v>
      </c>
      <c r="G3" s="49">
        <f>'RELATÓRIO APROV. DE LEGÍVEIS'!I415</f>
        <v>562</v>
      </c>
      <c r="H3" s="49">
        <f>'RELATÓRIO APROV. DE LEGÍVEIS'!J415</f>
        <v>0</v>
      </c>
      <c r="I3" s="49">
        <f>'RELATÓRIO APROV. DE LEGÍVEIS'!K415</f>
        <v>26</v>
      </c>
      <c r="J3" s="49">
        <f>'RELATÓRIO APROV. DE LEGÍVEIS'!L415</f>
        <v>22</v>
      </c>
      <c r="K3" s="49">
        <f>'RELATÓRIO APROV. DE LEGÍVEIS'!M415</f>
        <v>12</v>
      </c>
      <c r="L3" s="49">
        <f>'RELATÓRIO APROV. DE LEGÍVEIS'!N415</f>
        <v>1</v>
      </c>
      <c r="M3" s="49">
        <f>'RELATÓRIO APROV. DE LEGÍVEIS'!O415</f>
        <v>15</v>
      </c>
      <c r="N3" s="49">
        <f>'RELATÓRIO APROV. DE LEGÍVEIS'!P415</f>
        <v>113</v>
      </c>
      <c r="O3" s="49">
        <f>'RELATÓRIO APROV. DE LEGÍVEIS'!Q415</f>
        <v>80</v>
      </c>
      <c r="P3" s="49">
        <f>'RELATÓRIO APROV. DE LEGÍVEIS'!R415</f>
        <v>10</v>
      </c>
      <c r="Q3" s="49">
        <f>'RELATÓRIO APROV. DE LEGÍVEIS'!S415</f>
        <v>235</v>
      </c>
      <c r="R3" s="49">
        <f>'RELATÓRIO APROV. DE LEGÍVEIS'!T415</f>
        <v>48</v>
      </c>
      <c r="S3" s="49">
        <f>'RELATÓRIO APROV. DE LEGÍVEIS'!U415</f>
        <v>9684</v>
      </c>
      <c r="T3" s="64">
        <f>'RELATÓRIO APROV. DE LEGÍVEIS'!V415</f>
        <v>0.945149326566465</v>
      </c>
      <c r="U3" s="64">
        <f>'RELATÓRIO APROV. DE LEGÍVEIS'!W415</f>
        <v>5.4850673433535037E-2</v>
      </c>
      <c r="V3" s="49">
        <f>'RELATÓRIO APROV. DE LEGÍVEIS'!X415</f>
        <v>3180</v>
      </c>
      <c r="W3" s="49">
        <f>'RELATÓRIO APROV. DE LEGÍVEIS'!Y415</f>
        <v>255</v>
      </c>
      <c r="X3" s="49">
        <f>'RELATÓRIO APROV. DE LEGÍVEIS'!Z415</f>
        <v>286</v>
      </c>
      <c r="Y3" s="49">
        <f>'RELATÓRIO APROV. DE LEGÍVEIS'!AA415</f>
        <v>2214</v>
      </c>
      <c r="Z3" s="49">
        <f>'RELATÓRIO APROV. DE LEGÍVEIS'!AB415</f>
        <v>375</v>
      </c>
      <c r="AA3" s="49">
        <f>'RELATÓRIO APROV. DE LEGÍVEIS'!AC415</f>
        <v>50</v>
      </c>
      <c r="AB3" s="49">
        <f>'RELATÓRIO APROV. DE LEGÍVEIS'!AD415</f>
        <v>0</v>
      </c>
      <c r="AC3" s="49">
        <f>'RELATÓRIO APROV. DE LEGÍVEIS'!AE415</f>
        <v>6504</v>
      </c>
      <c r="AD3" s="49">
        <f>'RELATÓRIO APROV. DE LEGÍVEIS'!AF415</f>
        <v>18</v>
      </c>
      <c r="AE3" s="49">
        <f>'RELATÓRIO APROV. DE LEGÍVEIS'!AG415</f>
        <v>8</v>
      </c>
      <c r="AF3" s="49">
        <f>'RELATÓRIO APROV. DE LEGÍVEIS'!AH415</f>
        <v>35</v>
      </c>
      <c r="AG3" s="49">
        <f>'RELATÓRIO APROV. DE LEGÍVEIS'!AI415</f>
        <v>1</v>
      </c>
      <c r="AH3" s="49">
        <f>'RELATÓRIO APROV. DE LEGÍVEIS'!AJ415</f>
        <v>2408</v>
      </c>
      <c r="AI3" s="49">
        <f>'RELATÓRIO APROV. DE LEGÍVEIS'!AK415</f>
        <v>23</v>
      </c>
      <c r="AJ3" s="49">
        <f>'RELATÓRIO APROV. DE LEGÍVEIS'!AL415</f>
        <v>16</v>
      </c>
      <c r="AK3" s="49">
        <f>'RELATÓRIO APROV. DE LEGÍVEIS'!AM415</f>
        <v>82</v>
      </c>
      <c r="AL3" s="49">
        <f>'RELATÓRIO APROV. DE LEGÍVEIS'!AN415</f>
        <v>1</v>
      </c>
      <c r="AM3" s="49">
        <f>'RELATÓRIO APROV. DE LEGÍVEIS'!AO415</f>
        <v>6</v>
      </c>
      <c r="AN3" s="49">
        <f>'RELATÓRIO APROV. DE LEGÍVEIS'!AP415</f>
        <v>37</v>
      </c>
      <c r="AO3" s="49">
        <f>'RELATÓRIO APROV. DE LEGÍVEIS'!AQ415</f>
        <v>227</v>
      </c>
      <c r="AP3" s="49">
        <f>'RELATÓRIO APROV. DE LEGÍVEIS'!AR415</f>
        <v>2</v>
      </c>
      <c r="AQ3" s="49">
        <f>'RELATÓRIO APROV. DE LEGÍVEIS'!AR415</f>
        <v>2</v>
      </c>
      <c r="AR3" s="49">
        <f>'RELATÓRIO APROV. DE LEGÍVEIS'!AT415</f>
        <v>100</v>
      </c>
      <c r="AS3" s="49">
        <f>'RELATÓRIO APROV. DE LEGÍVEIS'!AU415</f>
        <v>2</v>
      </c>
      <c r="AT3" s="49">
        <f>'RELATÓRIO APROV. DE LEGÍVEIS'!AV415</f>
        <v>1</v>
      </c>
      <c r="AU3" s="49">
        <f>'RELATÓRIO APROV. DE LEGÍVEIS'!AW415</f>
        <v>2749</v>
      </c>
      <c r="AV3" s="49">
        <f>'RELATÓRIO APROV. DE LEGÍVEIS'!AX415</f>
        <v>6</v>
      </c>
      <c r="AW3" s="49">
        <f>'RELATÓRIO APROV. DE LEGÍVEIS'!AY415</f>
        <v>334</v>
      </c>
      <c r="AX3" s="49">
        <f>'RELATÓRIO APROV. DE LEGÍVEIS'!AZ415</f>
        <v>117</v>
      </c>
      <c r="AY3" s="49">
        <f>'RELATÓRIO APROV. DE LEGÍVEIS'!BA415</f>
        <v>89</v>
      </c>
      <c r="AZ3" s="49">
        <f>'RELATÓRIO APROV. DE LEGÍVEIS'!BB415</f>
        <v>4</v>
      </c>
      <c r="BA3" s="49">
        <f>'RELATÓRIO APROV. DE LEGÍVEIS'!BC415</f>
        <v>210</v>
      </c>
      <c r="BB3" s="49">
        <f>'RELATÓRIO APROV. DE LEGÍVEIS'!BD415</f>
        <v>6</v>
      </c>
      <c r="BC3" s="49">
        <f>'RELATÓRIO APROV. DE LEGÍVEIS'!BE415</f>
        <v>7066</v>
      </c>
    </row>
    <row r="4" spans="1:55" x14ac:dyDescent="0.2">
      <c r="T4" s="65"/>
      <c r="U4" s="65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</row>
    <row r="5" spans="1:55" x14ac:dyDescent="0.2">
      <c r="A5" s="31"/>
      <c r="B5" s="31"/>
      <c r="C5" s="35" t="s">
        <v>34</v>
      </c>
      <c r="D5" s="49">
        <f>'ITEM 01'!F119</f>
        <v>499925</v>
      </c>
      <c r="E5" s="49">
        <v>11</v>
      </c>
      <c r="F5" s="49">
        <f>'ITEM 01'!H119</f>
        <v>4587</v>
      </c>
      <c r="G5" s="49">
        <f>'ITEM 01'!I119</f>
        <v>82</v>
      </c>
      <c r="H5" s="49">
        <f>'ITEM 01'!J119</f>
        <v>0</v>
      </c>
      <c r="I5" s="49">
        <f>'ITEM 01'!K119</f>
        <v>0</v>
      </c>
      <c r="J5" s="49">
        <f>'ITEM 01'!L119</f>
        <v>16</v>
      </c>
      <c r="K5" s="49">
        <f>'ITEM 01'!M119</f>
        <v>5</v>
      </c>
      <c r="L5" s="49">
        <f>'ITEM 01'!N119</f>
        <v>0</v>
      </c>
      <c r="M5" s="49">
        <f>'ITEM 01'!O119</f>
        <v>0</v>
      </c>
      <c r="N5" s="49">
        <f>'ITEM 01'!P119</f>
        <v>12</v>
      </c>
      <c r="O5" s="49">
        <f>'ITEM 01'!Q119</f>
        <v>2</v>
      </c>
      <c r="P5" s="49">
        <f>'ITEM 01'!R119</f>
        <v>1</v>
      </c>
      <c r="Q5" s="49">
        <f>'ITEM 01'!S119</f>
        <v>35</v>
      </c>
      <c r="R5" s="49">
        <f>'ITEM 01'!T119</f>
        <v>11</v>
      </c>
      <c r="S5" s="49">
        <f>'ITEM 01'!U119</f>
        <v>4505</v>
      </c>
      <c r="T5" s="49">
        <f>'ITEM 01'!V119</f>
        <v>0.98212339219533462</v>
      </c>
      <c r="U5" s="49">
        <f>'ITEM 01'!W119</f>
        <v>1.7876607804665358E-2</v>
      </c>
      <c r="V5" s="49">
        <f>'ITEM 01'!X119</f>
        <v>510</v>
      </c>
      <c r="W5" s="49">
        <f>'ITEM 01'!Y119</f>
        <v>0</v>
      </c>
      <c r="X5" s="49">
        <f>'ITEM 01'!Z119</f>
        <v>0</v>
      </c>
      <c r="Y5" s="49">
        <f>'ITEM 01'!AA119</f>
        <v>417</v>
      </c>
      <c r="Z5" s="49">
        <f>'ITEM 01'!AB119</f>
        <v>81</v>
      </c>
      <c r="AA5" s="49">
        <f>'ITEM 01'!AC119</f>
        <v>12</v>
      </c>
      <c r="AB5" s="49">
        <f>'ITEM 01'!AD119</f>
        <v>0</v>
      </c>
      <c r="AC5" s="49">
        <f>'ITEM 01'!AE119</f>
        <v>3995</v>
      </c>
      <c r="AD5" s="49">
        <f>'ITEM 01'!AF119</f>
        <v>0</v>
      </c>
      <c r="AE5" s="49">
        <f>'ITEM 01'!AG119</f>
        <v>0</v>
      </c>
      <c r="AF5" s="49">
        <f>'ITEM 01'!AH119</f>
        <v>35</v>
      </c>
      <c r="AG5" s="49">
        <f>'ITEM 01'!AI119</f>
        <v>0</v>
      </c>
      <c r="AH5" s="49">
        <f>'ITEM 01'!AJ119</f>
        <v>2386</v>
      </c>
      <c r="AI5" s="49">
        <f>'ITEM 01'!AK119</f>
        <v>0</v>
      </c>
      <c r="AJ5" s="49">
        <f>'ITEM 01'!AL119</f>
        <v>5</v>
      </c>
      <c r="AK5" s="49">
        <f>'ITEM 01'!AM119</f>
        <v>26</v>
      </c>
      <c r="AL5" s="49">
        <f>'ITEM 01'!AN119</f>
        <v>0</v>
      </c>
      <c r="AM5" s="49">
        <f>'ITEM 01'!AO119</f>
        <v>4</v>
      </c>
      <c r="AN5" s="49">
        <f>'ITEM 01'!AP119</f>
        <v>0</v>
      </c>
      <c r="AO5" s="49">
        <f>'ITEM 01'!AQ119</f>
        <v>67</v>
      </c>
      <c r="AP5" s="49">
        <f>'ITEM 01'!AR119</f>
        <v>0</v>
      </c>
      <c r="AQ5" s="49">
        <f>'ITEM 01'!AS119</f>
        <v>3</v>
      </c>
      <c r="AR5" s="49">
        <f>'ITEM 01'!AT119</f>
        <v>33</v>
      </c>
      <c r="AS5" s="49">
        <f>'ITEM 01'!AU119</f>
        <v>0</v>
      </c>
      <c r="AT5" s="49">
        <f>'ITEM 01'!AV119</f>
        <v>0</v>
      </c>
      <c r="AU5" s="49">
        <f>'ITEM 01'!AW119</f>
        <v>1289</v>
      </c>
      <c r="AV5" s="49">
        <f>'ITEM 01'!AX119</f>
        <v>0</v>
      </c>
      <c r="AW5" s="49">
        <f>'ITEM 01'!AY119</f>
        <v>58</v>
      </c>
      <c r="AX5" s="49">
        <f>'ITEM 01'!AZ119</f>
        <v>41</v>
      </c>
      <c r="AY5" s="49">
        <f>'ITEM 01'!BA119</f>
        <v>23</v>
      </c>
      <c r="AZ5" s="49">
        <f>'ITEM 01'!BB119</f>
        <v>2</v>
      </c>
      <c r="BA5" s="49">
        <f>'ITEM 01'!BC119</f>
        <v>22</v>
      </c>
      <c r="BB5" s="49">
        <f>'ITEM 01'!BD119</f>
        <v>1</v>
      </c>
      <c r="BC5" s="49">
        <f>'ITEM 01'!BE119</f>
        <v>4077</v>
      </c>
    </row>
    <row r="6" spans="1:55" x14ac:dyDescent="0.2">
      <c r="A6" s="31"/>
      <c r="B6" s="31"/>
      <c r="C6" s="35" t="s">
        <v>35</v>
      </c>
      <c r="D6" s="49">
        <f>'ITEM 02'!F42</f>
        <v>1114717</v>
      </c>
      <c r="E6" s="49">
        <v>11</v>
      </c>
      <c r="F6" s="49">
        <f>'ITEM 02'!H42</f>
        <v>1506</v>
      </c>
      <c r="G6" s="49">
        <f>'ITEM 02'!I42</f>
        <v>128</v>
      </c>
      <c r="H6" s="49">
        <f>'ITEM 02'!J42</f>
        <v>0</v>
      </c>
      <c r="I6" s="49">
        <f>'ITEM 02'!K42</f>
        <v>0</v>
      </c>
      <c r="J6" s="49">
        <f>'ITEM 02'!L42</f>
        <v>4</v>
      </c>
      <c r="K6" s="49">
        <f>'ITEM 02'!M42</f>
        <v>2</v>
      </c>
      <c r="L6" s="49">
        <f>'ITEM 02'!N42</f>
        <v>0</v>
      </c>
      <c r="M6" s="49">
        <f>'ITEM 02'!O42</f>
        <v>3</v>
      </c>
      <c r="N6" s="49">
        <f>'ITEM 02'!P42</f>
        <v>8</v>
      </c>
      <c r="O6" s="49">
        <f>'ITEM 02'!Q42</f>
        <v>23</v>
      </c>
      <c r="P6" s="49">
        <f>'ITEM 02'!R42</f>
        <v>3</v>
      </c>
      <c r="Q6" s="49">
        <f>'ITEM 02'!S42</f>
        <v>103</v>
      </c>
      <c r="R6" s="49">
        <f>'ITEM 02'!T42</f>
        <v>20</v>
      </c>
      <c r="S6" s="49">
        <f>'ITEM 02'!U42</f>
        <v>1378</v>
      </c>
      <c r="T6" s="49">
        <f>'ITEM 02'!V42</f>
        <v>0.91500664010624166</v>
      </c>
      <c r="U6" s="49">
        <f>'ITEM 02'!W42</f>
        <v>8.4993359893758294E-2</v>
      </c>
      <c r="V6" s="49">
        <f>'ITEM 02'!X42</f>
        <v>888</v>
      </c>
      <c r="W6" s="49">
        <f>'ITEM 02'!Y42</f>
        <v>0</v>
      </c>
      <c r="X6" s="49">
        <f>'ITEM 02'!Z42</f>
        <v>0</v>
      </c>
      <c r="Y6" s="49">
        <f>'ITEM 02'!AA42</f>
        <v>916</v>
      </c>
      <c r="Z6" s="49">
        <f>'ITEM 02'!AB42</f>
        <v>162</v>
      </c>
      <c r="AA6" s="49">
        <f>'ITEM 02'!AC42</f>
        <v>32</v>
      </c>
      <c r="AB6" s="49">
        <f>'ITEM 02'!AD42</f>
        <v>0</v>
      </c>
      <c r="AC6" s="49">
        <f>'ITEM 02'!AE42</f>
        <v>490</v>
      </c>
      <c r="AD6" s="49">
        <f>'ITEM 02'!AF42</f>
        <v>0</v>
      </c>
      <c r="AE6" s="49">
        <f>'ITEM 02'!AG42</f>
        <v>3</v>
      </c>
      <c r="AF6" s="49">
        <f>'ITEM 02'!AH42</f>
        <v>0</v>
      </c>
      <c r="AG6" s="49">
        <f>'ITEM 02'!AI42</f>
        <v>1</v>
      </c>
      <c r="AH6" s="49">
        <f>'ITEM 02'!AJ42</f>
        <v>19</v>
      </c>
      <c r="AI6" s="49">
        <f>'ITEM 02'!AK42</f>
        <v>0</v>
      </c>
      <c r="AJ6" s="49">
        <f>'ITEM 02'!AL42</f>
        <v>0</v>
      </c>
      <c r="AK6" s="49">
        <f>'ITEM 02'!AM42</f>
        <v>29</v>
      </c>
      <c r="AL6" s="49">
        <f>'ITEM 02'!AN42</f>
        <v>1</v>
      </c>
      <c r="AM6" s="49">
        <f>'ITEM 02'!AO42</f>
        <v>0</v>
      </c>
      <c r="AN6" s="49">
        <f>'ITEM 02'!AP42</f>
        <v>0</v>
      </c>
      <c r="AO6" s="49">
        <f>'ITEM 02'!AQ42</f>
        <v>136</v>
      </c>
      <c r="AP6" s="49">
        <f>'ITEM 02'!AR42</f>
        <v>1</v>
      </c>
      <c r="AQ6" s="49">
        <f>'ITEM 02'!AS42</f>
        <v>2</v>
      </c>
      <c r="AR6" s="49">
        <f>'ITEM 02'!AT42</f>
        <v>30</v>
      </c>
      <c r="AS6" s="49">
        <f>'ITEM 02'!AU42</f>
        <v>1</v>
      </c>
      <c r="AT6" s="49">
        <f>'ITEM 02'!AV42</f>
        <v>0</v>
      </c>
      <c r="AU6" s="49">
        <f>'ITEM 02'!AW42</f>
        <v>0</v>
      </c>
      <c r="AV6" s="49">
        <f>'ITEM 02'!AX42</f>
        <v>1</v>
      </c>
      <c r="AW6" s="49">
        <f>'ITEM 02'!AY42</f>
        <v>125</v>
      </c>
      <c r="AX6" s="49">
        <f>'ITEM 02'!AZ42</f>
        <v>34</v>
      </c>
      <c r="AY6" s="49">
        <f>'ITEM 02'!BA42</f>
        <v>52</v>
      </c>
      <c r="AZ6" s="49">
        <f>'ITEM 02'!BB42</f>
        <v>1</v>
      </c>
      <c r="BA6" s="49">
        <f>'ITEM 02'!BC42</f>
        <v>137</v>
      </c>
      <c r="BB6" s="49">
        <f>'ITEM 02'!BD42</f>
        <v>0</v>
      </c>
      <c r="BC6" s="49">
        <f>'ITEM 02'!BE42</f>
        <v>618</v>
      </c>
    </row>
    <row r="7" spans="1:55" x14ac:dyDescent="0.2">
      <c r="A7" s="31"/>
      <c r="B7" s="31"/>
      <c r="C7" s="35" t="s">
        <v>36</v>
      </c>
      <c r="D7" s="49">
        <f>'ITEM 03'!F195</f>
        <v>740176</v>
      </c>
      <c r="E7" s="49">
        <v>11</v>
      </c>
      <c r="F7" s="49">
        <f>'ITEM 03'!H195</f>
        <v>5858</v>
      </c>
      <c r="G7" s="49">
        <f>'ITEM 03'!I195</f>
        <v>627</v>
      </c>
      <c r="H7" s="49">
        <f>'ITEM 03'!J195</f>
        <v>0</v>
      </c>
      <c r="I7" s="49">
        <f>'ITEM 03'!K195</f>
        <v>26</v>
      </c>
      <c r="J7" s="49">
        <f>'ITEM 03'!L195</f>
        <v>2</v>
      </c>
      <c r="K7" s="49">
        <f>'ITEM 03'!M195</f>
        <v>5</v>
      </c>
      <c r="L7" s="49">
        <f>'ITEM 03'!N195</f>
        <v>1</v>
      </c>
      <c r="M7" s="49">
        <f>'ITEM 03'!O195</f>
        <v>12</v>
      </c>
      <c r="N7" s="49">
        <f>'ITEM 03'!P195</f>
        <v>93</v>
      </c>
      <c r="O7" s="49">
        <f>'ITEM 03'!Q195</f>
        <v>55</v>
      </c>
      <c r="P7" s="49">
        <f>'ITEM 03'!R195</f>
        <v>6</v>
      </c>
      <c r="Q7" s="49">
        <f>'ITEM 03'!S195</f>
        <v>97</v>
      </c>
      <c r="R7" s="49">
        <f>'ITEM 03'!T195</f>
        <v>17</v>
      </c>
      <c r="S7" s="49">
        <f>'ITEM 03'!U195</f>
        <v>5231</v>
      </c>
      <c r="T7" s="49">
        <f>'ITEM 03'!V195</f>
        <v>0.89296688289518611</v>
      </c>
      <c r="U7" s="49">
        <f>'ITEM 03'!W195</f>
        <v>0.10703311710481393</v>
      </c>
      <c r="V7" s="49">
        <f>'ITEM 03'!X195</f>
        <v>2928</v>
      </c>
      <c r="W7" s="49">
        <f>'ITEM 03'!Y195</f>
        <v>255</v>
      </c>
      <c r="X7" s="49">
        <f>'ITEM 03'!Z195</f>
        <v>286</v>
      </c>
      <c r="Y7" s="49">
        <f>'ITEM 03'!AA195</f>
        <v>881</v>
      </c>
      <c r="Z7" s="49">
        <f>'ITEM 03'!AB195</f>
        <v>132</v>
      </c>
      <c r="AA7" s="49">
        <f>'ITEM 03'!AC195</f>
        <v>6</v>
      </c>
      <c r="AB7" s="49">
        <f>'ITEM 03'!AD195</f>
        <v>0</v>
      </c>
      <c r="AC7" s="49">
        <f>'ITEM 03'!AE195</f>
        <v>2303</v>
      </c>
      <c r="AD7" s="49">
        <f>'ITEM 03'!AF195</f>
        <v>18</v>
      </c>
      <c r="AE7" s="49">
        <f>'ITEM 03'!AG195</f>
        <v>5</v>
      </c>
      <c r="AF7" s="49">
        <f>'ITEM 03'!AH195</f>
        <v>0</v>
      </c>
      <c r="AG7" s="49">
        <f>'ITEM 03'!AI195</f>
        <v>0</v>
      </c>
      <c r="AH7" s="49">
        <f>'ITEM 03'!AJ195</f>
        <v>3</v>
      </c>
      <c r="AI7" s="49">
        <f>'ITEM 03'!AK195</f>
        <v>23</v>
      </c>
      <c r="AJ7" s="49">
        <f>'ITEM 03'!AL195</f>
        <v>11</v>
      </c>
      <c r="AK7" s="49">
        <f>'ITEM 03'!AM195</f>
        <v>27</v>
      </c>
      <c r="AL7" s="49">
        <f>'ITEM 03'!AN195</f>
        <v>0</v>
      </c>
      <c r="AM7" s="49">
        <f>'ITEM 03'!AO195</f>
        <v>2</v>
      </c>
      <c r="AN7" s="49">
        <f>'ITEM 03'!AP195</f>
        <v>37</v>
      </c>
      <c r="AO7" s="49">
        <f>'ITEM 03'!AQ195</f>
        <v>24</v>
      </c>
      <c r="AP7" s="49">
        <f>'ITEM 03'!AR195</f>
        <v>1</v>
      </c>
      <c r="AQ7" s="49">
        <f>'ITEM 03'!AS195</f>
        <v>17</v>
      </c>
      <c r="AR7" s="49">
        <f>'ITEM 03'!AT195</f>
        <v>37</v>
      </c>
      <c r="AS7" s="49">
        <f>'ITEM 03'!AU195</f>
        <v>1</v>
      </c>
      <c r="AT7" s="49">
        <f>'ITEM 03'!AV195</f>
        <v>1</v>
      </c>
      <c r="AU7" s="49">
        <f>'ITEM 03'!AW195</f>
        <v>1460</v>
      </c>
      <c r="AV7" s="49">
        <f>'ITEM 03'!AX195</f>
        <v>5</v>
      </c>
      <c r="AW7" s="49">
        <f>'ITEM 03'!AY195</f>
        <v>151</v>
      </c>
      <c r="AX7" s="49">
        <f>'ITEM 03'!AZ195</f>
        <v>42</v>
      </c>
      <c r="AY7" s="49">
        <f>'ITEM 03'!BA195</f>
        <v>14</v>
      </c>
      <c r="AZ7" s="49">
        <f>'ITEM 03'!BB195</f>
        <v>1</v>
      </c>
      <c r="BA7" s="49">
        <f>'ITEM 03'!BC195</f>
        <v>51</v>
      </c>
      <c r="BB7" s="49">
        <f>'ITEM 03'!BD195</f>
        <v>5</v>
      </c>
      <c r="BC7" s="49">
        <f>'ITEM 03'!BE195</f>
        <v>2930</v>
      </c>
    </row>
    <row r="8" spans="1:55" x14ac:dyDescent="0.2">
      <c r="A8" s="31"/>
      <c r="B8" s="31"/>
      <c r="C8" s="35" t="s">
        <v>37</v>
      </c>
      <c r="D8" s="49">
        <f>'ITEM 04'!F25</f>
        <v>0</v>
      </c>
      <c r="E8" s="49">
        <v>11</v>
      </c>
      <c r="F8" s="49">
        <f>'ITEM 04'!H25</f>
        <v>0</v>
      </c>
      <c r="G8" s="49">
        <f>'ITEM 04'!I25</f>
        <v>0</v>
      </c>
      <c r="H8" s="49">
        <f>'ITEM 04'!J25</f>
        <v>0</v>
      </c>
      <c r="I8" s="49">
        <f>'ITEM 04'!K25</f>
        <v>0</v>
      </c>
      <c r="J8" s="49">
        <f>'ITEM 04'!L25</f>
        <v>0</v>
      </c>
      <c r="K8" s="49">
        <f>'ITEM 04'!M25</f>
        <v>0</v>
      </c>
      <c r="L8" s="49">
        <f>'ITEM 04'!N25</f>
        <v>0</v>
      </c>
      <c r="M8" s="49">
        <f>'ITEM 04'!O25</f>
        <v>0</v>
      </c>
      <c r="N8" s="49">
        <f>'ITEM 04'!P25</f>
        <v>0</v>
      </c>
      <c r="O8" s="49">
        <f>'ITEM 04'!Q25</f>
        <v>0</v>
      </c>
      <c r="P8" s="49">
        <f>'ITEM 04'!R25</f>
        <v>0</v>
      </c>
      <c r="Q8" s="49">
        <f>'ITEM 04'!S25</f>
        <v>0</v>
      </c>
      <c r="R8" s="49">
        <f>'ITEM 04'!T25</f>
        <v>0</v>
      </c>
      <c r="S8" s="49">
        <f>'ITEM 04'!U25</f>
        <v>0</v>
      </c>
      <c r="T8" s="49">
        <f>'ITEM 04'!V25</f>
        <v>0</v>
      </c>
      <c r="U8" s="49">
        <f>'ITEM 04'!W25</f>
        <v>0</v>
      </c>
      <c r="V8" s="49">
        <f>'ITEM 04'!X25</f>
        <v>0</v>
      </c>
      <c r="W8" s="49">
        <f>'ITEM 04'!Y25</f>
        <v>0</v>
      </c>
      <c r="X8" s="49">
        <f>'ITEM 04'!Z25</f>
        <v>0</v>
      </c>
      <c r="Y8" s="49">
        <f>'ITEM 04'!AA25</f>
        <v>0</v>
      </c>
      <c r="Z8" s="49">
        <f>'ITEM 04'!AB25</f>
        <v>0</v>
      </c>
      <c r="AA8" s="49">
        <f>'ITEM 04'!AC25</f>
        <v>0</v>
      </c>
      <c r="AB8" s="49">
        <f>'ITEM 04'!AD25</f>
        <v>0</v>
      </c>
      <c r="AC8" s="49">
        <f>'ITEM 04'!AE25</f>
        <v>0</v>
      </c>
      <c r="AD8" s="49">
        <f>'ITEM 04'!AF25</f>
        <v>0</v>
      </c>
      <c r="AE8" s="49">
        <f>'ITEM 04'!AG25</f>
        <v>0</v>
      </c>
      <c r="AF8" s="49">
        <f>'ITEM 04'!AH25</f>
        <v>0</v>
      </c>
      <c r="AG8" s="49">
        <f>'ITEM 04'!AI25</f>
        <v>0</v>
      </c>
      <c r="AH8" s="49">
        <f>'ITEM 04'!AJ25</f>
        <v>0</v>
      </c>
      <c r="AI8" s="49">
        <f>'ITEM 04'!AK25</f>
        <v>0</v>
      </c>
      <c r="AJ8" s="49">
        <f>'ITEM 04'!AL25</f>
        <v>0</v>
      </c>
      <c r="AK8" s="49">
        <f>'ITEM 04'!AM25</f>
        <v>0</v>
      </c>
      <c r="AL8" s="49">
        <f>'ITEM 04'!AN25</f>
        <v>0</v>
      </c>
      <c r="AM8" s="49">
        <f>'ITEM 04'!AO25</f>
        <v>0</v>
      </c>
      <c r="AN8" s="49">
        <f>'ITEM 04'!AP25</f>
        <v>0</v>
      </c>
      <c r="AO8" s="49">
        <f>'ITEM 04'!AQ25</f>
        <v>0</v>
      </c>
      <c r="AP8" s="49">
        <f>'ITEM 04'!AR25</f>
        <v>0</v>
      </c>
      <c r="AQ8" s="49">
        <f>'ITEM 04'!AS25</f>
        <v>0</v>
      </c>
      <c r="AR8" s="49">
        <f>'ITEM 04'!AT25</f>
        <v>0</v>
      </c>
      <c r="AS8" s="49">
        <f>'ITEM 04'!AU25</f>
        <v>0</v>
      </c>
      <c r="AT8" s="49">
        <f>'ITEM 04'!AV25</f>
        <v>0</v>
      </c>
      <c r="AU8" s="49">
        <f>'ITEM 04'!AW25</f>
        <v>0</v>
      </c>
      <c r="AV8" s="49">
        <f>'ITEM 04'!AX25</f>
        <v>0</v>
      </c>
      <c r="AW8" s="49">
        <f>'ITEM 04'!AY25</f>
        <v>0</v>
      </c>
      <c r="AX8" s="49">
        <f>'ITEM 04'!AZ25</f>
        <v>0</v>
      </c>
      <c r="AY8" s="49">
        <f>'ITEM 04'!BA25</f>
        <v>0</v>
      </c>
      <c r="AZ8" s="49">
        <f>'ITEM 04'!BB25</f>
        <v>0</v>
      </c>
      <c r="BA8" s="49">
        <f>'ITEM 04'!BC25</f>
        <v>0</v>
      </c>
      <c r="BB8" s="49">
        <f>'ITEM 04'!BD25</f>
        <v>0</v>
      </c>
      <c r="BC8" s="49">
        <f>'ITEM 04'!BE25</f>
        <v>0</v>
      </c>
    </row>
    <row r="9" spans="1:55" x14ac:dyDescent="0.2">
      <c r="A9" s="31"/>
      <c r="B9" s="31"/>
      <c r="C9" s="35" t="s">
        <v>38</v>
      </c>
      <c r="D9" s="49">
        <f>'ITEM 05'!F14</f>
        <v>0</v>
      </c>
      <c r="E9" s="49">
        <v>0</v>
      </c>
      <c r="F9" s="49">
        <f>'ITEM 05'!H14</f>
        <v>0</v>
      </c>
      <c r="G9" s="49">
        <f>'ITEM 05'!I14</f>
        <v>0</v>
      </c>
      <c r="H9" s="49">
        <f>'ITEM 05'!J14</f>
        <v>0</v>
      </c>
      <c r="I9" s="49">
        <f>'ITEM 05'!K14</f>
        <v>0</v>
      </c>
      <c r="J9" s="49">
        <f>'ITEM 05'!L14</f>
        <v>0</v>
      </c>
      <c r="K9" s="49">
        <f>'ITEM 05'!M14</f>
        <v>0</v>
      </c>
      <c r="L9" s="49">
        <f>'ITEM 05'!N14</f>
        <v>0</v>
      </c>
      <c r="M9" s="49">
        <f>'ITEM 05'!O14</f>
        <v>0</v>
      </c>
      <c r="N9" s="49">
        <f>'ITEM 05'!P14</f>
        <v>0</v>
      </c>
      <c r="O9" s="49">
        <f>'ITEM 05'!Q14</f>
        <v>0</v>
      </c>
      <c r="P9" s="49">
        <f>'ITEM 05'!R14</f>
        <v>0</v>
      </c>
      <c r="Q9" s="49">
        <f>'ITEM 05'!S14</f>
        <v>0</v>
      </c>
      <c r="R9" s="49">
        <f>'ITEM 05'!T14</f>
        <v>0</v>
      </c>
      <c r="S9" s="49">
        <f>'ITEM 05'!U14</f>
        <v>0</v>
      </c>
      <c r="T9" s="49">
        <f>'ITEM 05'!V14</f>
        <v>0</v>
      </c>
      <c r="U9" s="49">
        <f>'ITEM 05'!W14</f>
        <v>0</v>
      </c>
      <c r="V9" s="49">
        <f>'ITEM 05'!X14</f>
        <v>0</v>
      </c>
      <c r="W9" s="49">
        <f>'ITEM 05'!Y14</f>
        <v>0</v>
      </c>
      <c r="X9" s="49">
        <f>'ITEM 05'!Z14</f>
        <v>0</v>
      </c>
      <c r="Y9" s="49">
        <f>'ITEM 05'!AA14</f>
        <v>0</v>
      </c>
      <c r="Z9" s="49">
        <f>'ITEM 05'!AB14</f>
        <v>0</v>
      </c>
      <c r="AA9" s="49">
        <f>'ITEM 05'!AC14</f>
        <v>0</v>
      </c>
      <c r="AB9" s="49">
        <f>'ITEM 05'!AD14</f>
        <v>0</v>
      </c>
      <c r="AC9" s="49">
        <f>'ITEM 05'!AE14</f>
        <v>0</v>
      </c>
      <c r="AD9" s="49">
        <f>'ITEM 05'!AF14</f>
        <v>0</v>
      </c>
      <c r="AE9" s="49">
        <f>'ITEM 05'!AG14</f>
        <v>0</v>
      </c>
      <c r="AF9" s="49">
        <f>'ITEM 05'!AH14</f>
        <v>0</v>
      </c>
      <c r="AG9" s="49">
        <f>'ITEM 05'!AI14</f>
        <v>0</v>
      </c>
      <c r="AH9" s="49">
        <f>'ITEM 05'!AJ14</f>
        <v>0</v>
      </c>
      <c r="AI9" s="49">
        <f>'ITEM 05'!AK14</f>
        <v>0</v>
      </c>
      <c r="AJ9" s="49">
        <f>'ITEM 05'!AL14</f>
        <v>0</v>
      </c>
      <c r="AK9" s="49">
        <f>'ITEM 05'!AM14</f>
        <v>0</v>
      </c>
      <c r="AL9" s="49">
        <f>'ITEM 05'!AN14</f>
        <v>0</v>
      </c>
      <c r="AM9" s="49">
        <f>'ITEM 05'!AO14</f>
        <v>0</v>
      </c>
      <c r="AN9" s="49">
        <f>'ITEM 05'!AP14</f>
        <v>0</v>
      </c>
      <c r="AO9" s="49">
        <f>'ITEM 05'!AQ14</f>
        <v>0</v>
      </c>
      <c r="AP9" s="49">
        <f>'ITEM 05'!AR14</f>
        <v>0</v>
      </c>
      <c r="AQ9" s="49">
        <f>'ITEM 05'!AS14</f>
        <v>0</v>
      </c>
      <c r="AR9" s="49">
        <f>'ITEM 05'!AT14</f>
        <v>0</v>
      </c>
      <c r="AS9" s="49">
        <f>'ITEM 05'!AU14</f>
        <v>0</v>
      </c>
      <c r="AT9" s="49">
        <f>'ITEM 05'!AV14</f>
        <v>0</v>
      </c>
      <c r="AU9" s="49">
        <f>'ITEM 05'!AW14</f>
        <v>0</v>
      </c>
      <c r="AV9" s="49">
        <f>'ITEM 05'!AX14</f>
        <v>0</v>
      </c>
      <c r="AW9" s="49">
        <f>'ITEM 05'!AY14</f>
        <v>0</v>
      </c>
      <c r="AX9" s="49">
        <f>'ITEM 05'!AZ14</f>
        <v>0</v>
      </c>
      <c r="AY9" s="49">
        <f>'ITEM 05'!BA14</f>
        <v>0</v>
      </c>
      <c r="AZ9" s="49">
        <f>'ITEM 05'!BB14</f>
        <v>0</v>
      </c>
      <c r="BA9" s="49">
        <f>'ITEM 05'!BC14</f>
        <v>0</v>
      </c>
      <c r="BB9" s="49">
        <f>'ITEM 05'!BD14</f>
        <v>0</v>
      </c>
      <c r="BC9" s="49">
        <f>'ITEM 05'!BE14</f>
        <v>0</v>
      </c>
    </row>
    <row r="10" spans="1:55" x14ac:dyDescent="0.2">
      <c r="A10" s="31"/>
      <c r="B10" s="31"/>
      <c r="C10" s="35" t="s">
        <v>39</v>
      </c>
      <c r="D10" s="49">
        <f>'ITEM 06'!F80</f>
        <v>0</v>
      </c>
      <c r="E10" s="49">
        <v>11</v>
      </c>
      <c r="F10" s="49">
        <f>'ITEM 06'!H80</f>
        <v>0</v>
      </c>
      <c r="G10" s="49">
        <f>'ITEM 06'!I80</f>
        <v>0</v>
      </c>
      <c r="H10" s="49">
        <f>'ITEM 06'!J80</f>
        <v>0</v>
      </c>
      <c r="I10" s="49">
        <f>'ITEM 06'!K80</f>
        <v>0</v>
      </c>
      <c r="J10" s="49">
        <f>'ITEM 06'!L80</f>
        <v>0</v>
      </c>
      <c r="K10" s="49">
        <f>'ITEM 06'!M80</f>
        <v>0</v>
      </c>
      <c r="L10" s="49">
        <f>'ITEM 06'!N80</f>
        <v>0</v>
      </c>
      <c r="M10" s="49">
        <f>'ITEM 06'!O80</f>
        <v>0</v>
      </c>
      <c r="N10" s="49">
        <f>'ITEM 06'!P80</f>
        <v>0</v>
      </c>
      <c r="O10" s="49">
        <f>'ITEM 06'!Q80</f>
        <v>0</v>
      </c>
      <c r="P10" s="49">
        <f>'ITEM 06'!R80</f>
        <v>0</v>
      </c>
      <c r="Q10" s="49">
        <f>'ITEM 06'!S80</f>
        <v>0</v>
      </c>
      <c r="R10" s="49">
        <f>'ITEM 06'!T80</f>
        <v>0</v>
      </c>
      <c r="S10" s="49">
        <f>'ITEM 06'!U80</f>
        <v>0</v>
      </c>
      <c r="T10" s="49">
        <f>'ITEM 06'!V80</f>
        <v>0</v>
      </c>
      <c r="U10" s="49">
        <f>'ITEM 06'!W80</f>
        <v>0</v>
      </c>
      <c r="V10" s="49">
        <f>'ITEM 06'!X80</f>
        <v>0</v>
      </c>
      <c r="W10" s="49">
        <f>'ITEM 06'!Y80</f>
        <v>0</v>
      </c>
      <c r="X10" s="49">
        <f>'ITEM 06'!Z80</f>
        <v>0</v>
      </c>
      <c r="Y10" s="49">
        <f>'ITEM 06'!AA80</f>
        <v>0</v>
      </c>
      <c r="Z10" s="49">
        <f>'ITEM 06'!AB80</f>
        <v>0</v>
      </c>
      <c r="AA10" s="49">
        <f>'ITEM 06'!AC80</f>
        <v>0</v>
      </c>
      <c r="AB10" s="49">
        <f>'ITEM 06'!AD80</f>
        <v>0</v>
      </c>
      <c r="AC10" s="49">
        <f>'ITEM 06'!AE80</f>
        <v>0</v>
      </c>
      <c r="AD10" s="49">
        <f>'ITEM 06'!AF80</f>
        <v>0</v>
      </c>
      <c r="AE10" s="49">
        <f>'ITEM 06'!AG80</f>
        <v>0</v>
      </c>
      <c r="AF10" s="49">
        <f>'ITEM 06'!AH80</f>
        <v>0</v>
      </c>
      <c r="AG10" s="49">
        <f>'ITEM 06'!AI80</f>
        <v>0</v>
      </c>
      <c r="AH10" s="49">
        <f>'ITEM 06'!AJ80</f>
        <v>0</v>
      </c>
      <c r="AI10" s="49">
        <f>'ITEM 06'!AK80</f>
        <v>0</v>
      </c>
      <c r="AJ10" s="49">
        <f>'ITEM 06'!AL80</f>
        <v>0</v>
      </c>
      <c r="AK10" s="49">
        <f>'ITEM 06'!AM80</f>
        <v>0</v>
      </c>
      <c r="AL10" s="49">
        <f>'ITEM 06'!AN80</f>
        <v>0</v>
      </c>
      <c r="AM10" s="49">
        <f>'ITEM 06'!AO80</f>
        <v>0</v>
      </c>
      <c r="AN10" s="49">
        <f>'ITEM 06'!AP80</f>
        <v>0</v>
      </c>
      <c r="AO10" s="49">
        <f>'ITEM 06'!AQ80</f>
        <v>0</v>
      </c>
      <c r="AP10" s="49">
        <f>'ITEM 06'!AR80</f>
        <v>0</v>
      </c>
      <c r="AQ10" s="49">
        <f>'ITEM 06'!AS80</f>
        <v>0</v>
      </c>
      <c r="AR10" s="49">
        <f>'ITEM 06'!AT80</f>
        <v>0</v>
      </c>
      <c r="AS10" s="49">
        <f>'ITEM 06'!AU80</f>
        <v>0</v>
      </c>
      <c r="AT10" s="49">
        <f>'ITEM 06'!AV80</f>
        <v>0</v>
      </c>
      <c r="AU10" s="49">
        <f>'ITEM 06'!AW80</f>
        <v>0</v>
      </c>
      <c r="AV10" s="49">
        <f>'ITEM 06'!AX80</f>
        <v>0</v>
      </c>
      <c r="AW10" s="49">
        <f>'ITEM 06'!AY80</f>
        <v>0</v>
      </c>
      <c r="AX10" s="49">
        <f>'ITEM 06'!AZ80</f>
        <v>0</v>
      </c>
      <c r="AY10" s="49">
        <f>'ITEM 06'!BA80</f>
        <v>0</v>
      </c>
      <c r="AZ10" s="49">
        <f>'ITEM 06'!BB80</f>
        <v>0</v>
      </c>
      <c r="BA10" s="49">
        <f>'ITEM 06'!BC80</f>
        <v>0</v>
      </c>
      <c r="BB10" s="49">
        <f>'ITEM 06'!BD80</f>
        <v>0</v>
      </c>
      <c r="BC10" s="49">
        <f>'ITEM 06'!BE80</f>
        <v>0</v>
      </c>
    </row>
    <row r="11" spans="1:55" x14ac:dyDescent="0.2">
      <c r="D11" s="62">
        <f t="shared" ref="D11" si="0">SUM(D5:D10)</f>
        <v>2354818</v>
      </c>
      <c r="E11" s="62"/>
      <c r="F11" s="62">
        <f t="shared" ref="F11" si="1">SUM(F5:F10)</f>
        <v>11951</v>
      </c>
      <c r="G11" s="62">
        <f t="shared" ref="G11" si="2">SUM(G5:G10)</f>
        <v>837</v>
      </c>
      <c r="H11" s="62">
        <f t="shared" ref="H11:R11" si="3">SUM(H5:H10)</f>
        <v>0</v>
      </c>
      <c r="I11" s="62">
        <f t="shared" si="3"/>
        <v>26</v>
      </c>
      <c r="J11" s="62">
        <f t="shared" si="3"/>
        <v>22</v>
      </c>
      <c r="K11" s="62">
        <f t="shared" si="3"/>
        <v>12</v>
      </c>
      <c r="L11" s="62">
        <f t="shared" si="3"/>
        <v>1</v>
      </c>
      <c r="M11" s="62">
        <f t="shared" si="3"/>
        <v>15</v>
      </c>
      <c r="N11" s="62">
        <f t="shared" si="3"/>
        <v>113</v>
      </c>
      <c r="O11" s="62">
        <f t="shared" si="3"/>
        <v>80</v>
      </c>
      <c r="P11" s="62">
        <f t="shared" si="3"/>
        <v>10</v>
      </c>
      <c r="Q11" s="62">
        <f t="shared" si="3"/>
        <v>235</v>
      </c>
      <c r="R11" s="62">
        <f t="shared" si="3"/>
        <v>48</v>
      </c>
      <c r="S11" s="62">
        <f t="shared" ref="S11" si="4">SUM(S5:S10)</f>
        <v>11114</v>
      </c>
      <c r="T11" s="63">
        <f t="shared" ref="T11" si="5">SUM(T5:T10)</f>
        <v>2.7900969151967625</v>
      </c>
      <c r="U11" s="63">
        <f t="shared" ref="U11" si="6">SUM(U5:U10)</f>
        <v>0.20990308480323761</v>
      </c>
      <c r="V11" s="62">
        <f t="shared" ref="V11" si="7">SUM(V5:V10)</f>
        <v>4326</v>
      </c>
      <c r="W11" s="62">
        <f t="shared" ref="W11" si="8">SUM(W5:W10)</f>
        <v>255</v>
      </c>
      <c r="X11" s="62">
        <f t="shared" ref="X11:AB11" si="9">SUM(X5:X10)</f>
        <v>286</v>
      </c>
      <c r="Y11" s="62">
        <f t="shared" si="9"/>
        <v>2214</v>
      </c>
      <c r="Z11" s="62">
        <f t="shared" si="9"/>
        <v>375</v>
      </c>
      <c r="AA11" s="62">
        <f t="shared" si="9"/>
        <v>50</v>
      </c>
      <c r="AB11" s="62">
        <f t="shared" si="9"/>
        <v>0</v>
      </c>
      <c r="AC11" s="62"/>
      <c r="AD11" s="62">
        <f t="shared" ref="AD11:BC11" si="10">AD3-AD4</f>
        <v>18</v>
      </c>
      <c r="AE11" s="62">
        <f t="shared" si="10"/>
        <v>8</v>
      </c>
      <c r="AF11" s="62">
        <f t="shared" si="10"/>
        <v>35</v>
      </c>
      <c r="AG11" s="62">
        <f t="shared" si="10"/>
        <v>1</v>
      </c>
      <c r="AH11" s="62">
        <f t="shared" si="10"/>
        <v>2408</v>
      </c>
      <c r="AI11" s="62">
        <f t="shared" si="10"/>
        <v>23</v>
      </c>
      <c r="AJ11" s="62">
        <f t="shared" si="10"/>
        <v>16</v>
      </c>
      <c r="AK11" s="62">
        <f t="shared" si="10"/>
        <v>82</v>
      </c>
      <c r="AL11" s="62">
        <f t="shared" si="10"/>
        <v>1</v>
      </c>
      <c r="AM11" s="62">
        <f t="shared" si="10"/>
        <v>6</v>
      </c>
      <c r="AN11" s="62">
        <f t="shared" si="10"/>
        <v>37</v>
      </c>
      <c r="AO11" s="62">
        <f t="shared" ref="AO11:AP11" si="11">AO3-AO4</f>
        <v>227</v>
      </c>
      <c r="AP11" s="62">
        <f t="shared" si="11"/>
        <v>2</v>
      </c>
      <c r="AQ11" s="62">
        <f t="shared" si="10"/>
        <v>2</v>
      </c>
      <c r="AR11" s="62">
        <f t="shared" si="10"/>
        <v>100</v>
      </c>
      <c r="AS11" s="62">
        <f t="shared" si="10"/>
        <v>2</v>
      </c>
      <c r="AT11" s="62">
        <f t="shared" si="10"/>
        <v>1</v>
      </c>
      <c r="AU11" s="62">
        <f t="shared" si="10"/>
        <v>2749</v>
      </c>
      <c r="AV11" s="62">
        <f t="shared" si="10"/>
        <v>6</v>
      </c>
      <c r="AW11" s="62">
        <f t="shared" si="10"/>
        <v>334</v>
      </c>
      <c r="AX11" s="62">
        <f t="shared" si="10"/>
        <v>117</v>
      </c>
      <c r="AY11" s="62">
        <f t="shared" si="10"/>
        <v>89</v>
      </c>
      <c r="AZ11" s="62">
        <f t="shared" si="10"/>
        <v>4</v>
      </c>
      <c r="BA11" s="62">
        <f t="shared" si="10"/>
        <v>210</v>
      </c>
      <c r="BB11" s="62"/>
      <c r="BC11" s="62">
        <f t="shared" si="10"/>
        <v>7066</v>
      </c>
    </row>
  </sheetData>
  <mergeCells count="3">
    <mergeCell ref="B1:D1"/>
    <mergeCell ref="H2:R2"/>
    <mergeCell ref="AD2:BB2"/>
  </mergeCells>
  <printOptions horizontalCentered="1"/>
  <pageMargins left="0.27559055118110237" right="0.31496062992125984" top="0.43307086614173229" bottom="1.299212598425197" header="0.31496062992125984" footer="0.23622047244094491"/>
  <pageSetup paperSize="8" scale="65" orientation="landscape" r:id="rId1"/>
  <headerFooter>
    <oddHeader>&amp;R&amp;8Página &amp;P de &amp;N</oddHeader>
    <oddFooter>Página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8E2B-5919-4BBE-86A9-BBDE7758D467}">
  <dimension ref="E1:P206"/>
  <sheetViews>
    <sheetView workbookViewId="0">
      <selection activeCell="J1" sqref="J1:N1048576"/>
    </sheetView>
  </sheetViews>
  <sheetFormatPr baseColWidth="10" defaultColWidth="8.83203125" defaultRowHeight="15" x14ac:dyDescent="0.2"/>
  <cols>
    <col min="6" max="6" width="20.5" bestFit="1" customWidth="1"/>
    <col min="10" max="10" width="12.1640625" bestFit="1" customWidth="1"/>
    <col min="11" max="11" width="17.83203125" bestFit="1" customWidth="1"/>
    <col min="14" max="14" width="12.1640625" bestFit="1" customWidth="1"/>
    <col min="15" max="16" width="17.83203125" bestFit="1" customWidth="1"/>
  </cols>
  <sheetData>
    <row r="1" spans="5:16" x14ac:dyDescent="0.2">
      <c r="E1" s="53" t="s">
        <v>41</v>
      </c>
      <c r="F1" s="53"/>
      <c r="J1" t="s">
        <v>87</v>
      </c>
      <c r="K1" t="s">
        <v>88</v>
      </c>
      <c r="L1" t="s">
        <v>41</v>
      </c>
      <c r="N1" t="s">
        <v>89</v>
      </c>
    </row>
    <row r="2" spans="5:16" x14ac:dyDescent="0.2">
      <c r="E2" s="53">
        <v>1</v>
      </c>
      <c r="F2" s="53" t="s">
        <v>42</v>
      </c>
      <c r="J2" s="37" t="s">
        <v>90</v>
      </c>
      <c r="K2" s="53" t="s">
        <v>42</v>
      </c>
      <c r="L2">
        <v>1</v>
      </c>
      <c r="N2" s="37" t="s">
        <v>91</v>
      </c>
      <c r="O2" s="53"/>
      <c r="P2" s="53"/>
    </row>
    <row r="3" spans="5:16" x14ac:dyDescent="0.2">
      <c r="E3" s="53">
        <v>2</v>
      </c>
      <c r="F3" s="53" t="s">
        <v>43</v>
      </c>
      <c r="J3" s="38" t="s">
        <v>92</v>
      </c>
      <c r="K3" s="53" t="s">
        <v>42</v>
      </c>
      <c r="L3">
        <v>1</v>
      </c>
      <c r="N3" s="38" t="s">
        <v>91</v>
      </c>
      <c r="O3" s="53"/>
      <c r="P3" s="53"/>
    </row>
    <row r="4" spans="5:16" x14ac:dyDescent="0.2">
      <c r="E4" s="53">
        <v>3</v>
      </c>
      <c r="F4" s="53" t="s">
        <v>44</v>
      </c>
      <c r="J4" s="38" t="s">
        <v>93</v>
      </c>
      <c r="K4" s="53" t="s">
        <v>42</v>
      </c>
      <c r="L4">
        <v>1</v>
      </c>
      <c r="N4" s="38" t="s">
        <v>94</v>
      </c>
      <c r="O4" s="53"/>
      <c r="P4" s="53"/>
    </row>
    <row r="5" spans="5:16" x14ac:dyDescent="0.2">
      <c r="E5" s="53">
        <v>4</v>
      </c>
      <c r="F5" s="53" t="s">
        <v>45</v>
      </c>
      <c r="J5" s="38" t="s">
        <v>95</v>
      </c>
      <c r="K5" s="53" t="s">
        <v>42</v>
      </c>
      <c r="L5">
        <v>1</v>
      </c>
      <c r="N5" s="38" t="s">
        <v>94</v>
      </c>
      <c r="O5" s="53"/>
      <c r="P5" s="53"/>
    </row>
    <row r="6" spans="5:16" x14ac:dyDescent="0.2">
      <c r="E6" s="53">
        <v>5</v>
      </c>
      <c r="F6" s="53" t="s">
        <v>46</v>
      </c>
      <c r="J6" s="38" t="s">
        <v>96</v>
      </c>
      <c r="K6" s="53" t="s">
        <v>42</v>
      </c>
      <c r="L6">
        <v>1</v>
      </c>
      <c r="N6" s="38" t="s">
        <v>97</v>
      </c>
      <c r="O6" s="53"/>
      <c r="P6" s="53"/>
    </row>
    <row r="7" spans="5:16" x14ac:dyDescent="0.2">
      <c r="E7" s="53">
        <v>6</v>
      </c>
      <c r="F7" s="53" t="s">
        <v>47</v>
      </c>
      <c r="J7" s="38" t="s">
        <v>98</v>
      </c>
      <c r="K7" s="53" t="s">
        <v>42</v>
      </c>
      <c r="L7">
        <v>1</v>
      </c>
      <c r="N7" s="38" t="s">
        <v>97</v>
      </c>
      <c r="O7" s="53"/>
      <c r="P7" s="53"/>
    </row>
    <row r="8" spans="5:16" x14ac:dyDescent="0.2">
      <c r="J8" s="38" t="s">
        <v>99</v>
      </c>
      <c r="K8" s="53" t="s">
        <v>42</v>
      </c>
      <c r="L8">
        <v>1</v>
      </c>
      <c r="N8" s="38" t="s">
        <v>100</v>
      </c>
      <c r="O8" s="53"/>
      <c r="P8" s="53"/>
    </row>
    <row r="9" spans="5:16" x14ac:dyDescent="0.2">
      <c r="J9" s="38" t="s">
        <v>101</v>
      </c>
      <c r="K9" s="53" t="s">
        <v>42</v>
      </c>
      <c r="L9">
        <v>1</v>
      </c>
      <c r="N9" s="38" t="s">
        <v>100</v>
      </c>
      <c r="O9" s="53"/>
      <c r="P9" s="53"/>
    </row>
    <row r="10" spans="5:16" x14ac:dyDescent="0.2">
      <c r="J10" s="38" t="s">
        <v>102</v>
      </c>
      <c r="K10" s="53" t="s">
        <v>42</v>
      </c>
      <c r="L10">
        <v>1</v>
      </c>
      <c r="N10" s="38" t="s">
        <v>103</v>
      </c>
      <c r="O10" s="53"/>
      <c r="P10" s="53"/>
    </row>
    <row r="11" spans="5:16" x14ac:dyDescent="0.2">
      <c r="J11" s="38" t="s">
        <v>104</v>
      </c>
      <c r="K11" s="53" t="s">
        <v>42</v>
      </c>
      <c r="L11">
        <v>1</v>
      </c>
      <c r="N11" s="38" t="s">
        <v>103</v>
      </c>
      <c r="O11" s="53"/>
      <c r="P11" s="53"/>
    </row>
    <row r="12" spans="5:16" x14ac:dyDescent="0.2">
      <c r="J12" s="38" t="s">
        <v>105</v>
      </c>
      <c r="K12" s="53" t="s">
        <v>42</v>
      </c>
      <c r="L12">
        <v>1</v>
      </c>
      <c r="N12" s="38" t="s">
        <v>106</v>
      </c>
      <c r="O12" s="53"/>
      <c r="P12" s="53"/>
    </row>
    <row r="13" spans="5:16" x14ac:dyDescent="0.2">
      <c r="J13" s="38" t="s">
        <v>107</v>
      </c>
      <c r="K13" s="53" t="s">
        <v>42</v>
      </c>
      <c r="L13">
        <v>1</v>
      </c>
      <c r="N13" s="38" t="s">
        <v>106</v>
      </c>
      <c r="O13" s="53"/>
      <c r="P13" s="53"/>
    </row>
    <row r="14" spans="5:16" x14ac:dyDescent="0.2">
      <c r="J14" s="38" t="s">
        <v>108</v>
      </c>
      <c r="K14" s="53" t="s">
        <v>42</v>
      </c>
      <c r="L14">
        <v>1</v>
      </c>
      <c r="N14" s="38" t="s">
        <v>109</v>
      </c>
      <c r="O14" s="53"/>
      <c r="P14" s="53"/>
    </row>
    <row r="15" spans="5:16" x14ac:dyDescent="0.2">
      <c r="J15" s="38" t="s">
        <v>110</v>
      </c>
      <c r="K15" s="53" t="s">
        <v>42</v>
      </c>
      <c r="L15">
        <v>1</v>
      </c>
      <c r="N15" s="38" t="s">
        <v>109</v>
      </c>
      <c r="O15" s="53"/>
      <c r="P15" s="53"/>
    </row>
    <row r="16" spans="5:16" x14ac:dyDescent="0.2">
      <c r="J16" s="38" t="s">
        <v>111</v>
      </c>
      <c r="K16" s="53" t="s">
        <v>42</v>
      </c>
      <c r="L16">
        <v>1</v>
      </c>
      <c r="N16" s="38" t="s">
        <v>112</v>
      </c>
      <c r="O16" s="53"/>
      <c r="P16" s="53"/>
    </row>
    <row r="17" spans="10:16" x14ac:dyDescent="0.2">
      <c r="J17" s="38" t="s">
        <v>113</v>
      </c>
      <c r="K17" s="53" t="s">
        <v>42</v>
      </c>
      <c r="L17">
        <v>1</v>
      </c>
      <c r="N17" s="38" t="s">
        <v>112</v>
      </c>
      <c r="O17" s="53"/>
      <c r="P17" s="53"/>
    </row>
    <row r="18" spans="10:16" x14ac:dyDescent="0.2">
      <c r="J18" s="38" t="s">
        <v>114</v>
      </c>
      <c r="K18" s="53" t="s">
        <v>42</v>
      </c>
      <c r="L18">
        <v>1</v>
      </c>
      <c r="N18" s="38" t="s">
        <v>115</v>
      </c>
      <c r="O18" s="53"/>
      <c r="P18" s="53"/>
    </row>
    <row r="19" spans="10:16" x14ac:dyDescent="0.2">
      <c r="J19" s="38" t="s">
        <v>116</v>
      </c>
      <c r="K19" s="53" t="s">
        <v>42</v>
      </c>
      <c r="L19">
        <v>1</v>
      </c>
      <c r="N19" s="38" t="s">
        <v>115</v>
      </c>
      <c r="O19" s="53"/>
      <c r="P19" s="53"/>
    </row>
    <row r="20" spans="10:16" x14ac:dyDescent="0.2">
      <c r="J20" s="38" t="s">
        <v>117</v>
      </c>
      <c r="K20" s="53" t="s">
        <v>42</v>
      </c>
      <c r="L20">
        <v>1</v>
      </c>
      <c r="N20" s="38" t="s">
        <v>118</v>
      </c>
      <c r="O20" s="53"/>
      <c r="P20" s="53"/>
    </row>
    <row r="21" spans="10:16" x14ac:dyDescent="0.2">
      <c r="J21" s="38" t="s">
        <v>119</v>
      </c>
      <c r="K21" s="53" t="s">
        <v>42</v>
      </c>
      <c r="L21">
        <v>1</v>
      </c>
      <c r="N21" s="38" t="s">
        <v>118</v>
      </c>
      <c r="O21" s="47"/>
      <c r="P21" s="53"/>
    </row>
    <row r="22" spans="10:16" x14ac:dyDescent="0.2">
      <c r="J22" s="38" t="s">
        <v>120</v>
      </c>
      <c r="K22" s="53" t="s">
        <v>42</v>
      </c>
      <c r="L22">
        <v>1</v>
      </c>
      <c r="N22" s="38" t="s">
        <v>121</v>
      </c>
      <c r="O22" s="47"/>
      <c r="P22" s="53"/>
    </row>
    <row r="23" spans="10:16" x14ac:dyDescent="0.2">
      <c r="J23" s="38" t="s">
        <v>122</v>
      </c>
      <c r="K23" s="53" t="s">
        <v>42</v>
      </c>
      <c r="L23">
        <v>1</v>
      </c>
      <c r="N23" s="38" t="s">
        <v>121</v>
      </c>
      <c r="O23" s="47"/>
      <c r="P23" s="53"/>
    </row>
    <row r="24" spans="10:16" x14ac:dyDescent="0.2">
      <c r="J24" s="38" t="s">
        <v>123</v>
      </c>
      <c r="K24" s="53" t="s">
        <v>42</v>
      </c>
      <c r="L24">
        <v>1</v>
      </c>
      <c r="N24" s="38" t="s">
        <v>121</v>
      </c>
      <c r="O24" s="47"/>
      <c r="P24" s="53"/>
    </row>
    <row r="25" spans="10:16" x14ac:dyDescent="0.2">
      <c r="J25" s="38" t="s">
        <v>124</v>
      </c>
      <c r="K25" s="53" t="s">
        <v>42</v>
      </c>
      <c r="L25">
        <v>1</v>
      </c>
      <c r="N25" s="38" t="s">
        <v>125</v>
      </c>
      <c r="O25" s="47"/>
      <c r="P25" s="53"/>
    </row>
    <row r="26" spans="10:16" x14ac:dyDescent="0.2">
      <c r="J26" s="38" t="s">
        <v>126</v>
      </c>
      <c r="K26" s="53" t="s">
        <v>42</v>
      </c>
      <c r="L26">
        <v>1</v>
      </c>
      <c r="N26" s="38" t="s">
        <v>125</v>
      </c>
      <c r="O26" s="47"/>
      <c r="P26" s="53"/>
    </row>
    <row r="27" spans="10:16" x14ac:dyDescent="0.2">
      <c r="J27" s="38" t="s">
        <v>127</v>
      </c>
      <c r="K27" s="53" t="s">
        <v>42</v>
      </c>
      <c r="L27">
        <v>1</v>
      </c>
      <c r="N27" s="38" t="s">
        <v>128</v>
      </c>
      <c r="O27" s="47"/>
      <c r="P27" s="53"/>
    </row>
    <row r="28" spans="10:16" x14ac:dyDescent="0.2">
      <c r="J28" s="38" t="s">
        <v>129</v>
      </c>
      <c r="K28" s="53" t="s">
        <v>42</v>
      </c>
      <c r="L28">
        <v>1</v>
      </c>
      <c r="N28" s="38" t="s">
        <v>128</v>
      </c>
    </row>
    <row r="29" spans="10:16" x14ac:dyDescent="0.2">
      <c r="J29" s="38" t="s">
        <v>130</v>
      </c>
      <c r="K29" s="53" t="s">
        <v>42</v>
      </c>
      <c r="L29">
        <v>1</v>
      </c>
      <c r="N29" s="38" t="s">
        <v>131</v>
      </c>
    </row>
    <row r="30" spans="10:16" x14ac:dyDescent="0.2">
      <c r="J30" s="38" t="s">
        <v>132</v>
      </c>
      <c r="K30" s="53" t="s">
        <v>42</v>
      </c>
      <c r="L30">
        <v>1</v>
      </c>
      <c r="N30" s="38" t="s">
        <v>131</v>
      </c>
    </row>
    <row r="31" spans="10:16" x14ac:dyDescent="0.2">
      <c r="J31" s="38" t="s">
        <v>133</v>
      </c>
      <c r="K31" s="53" t="s">
        <v>42</v>
      </c>
      <c r="L31">
        <v>1</v>
      </c>
      <c r="N31" s="38" t="s">
        <v>131</v>
      </c>
    </row>
    <row r="32" spans="10:16" x14ac:dyDescent="0.2">
      <c r="J32" s="38" t="s">
        <v>134</v>
      </c>
      <c r="K32" s="53" t="s">
        <v>42</v>
      </c>
      <c r="L32">
        <v>1</v>
      </c>
      <c r="N32" s="38" t="s">
        <v>135</v>
      </c>
    </row>
    <row r="33" spans="10:14" x14ac:dyDescent="0.2">
      <c r="J33" s="38" t="s">
        <v>136</v>
      </c>
      <c r="K33" s="53" t="s">
        <v>42</v>
      </c>
      <c r="L33">
        <v>1</v>
      </c>
      <c r="N33" s="38" t="s">
        <v>135</v>
      </c>
    </row>
    <row r="34" spans="10:14" x14ac:dyDescent="0.2">
      <c r="J34" s="38" t="s">
        <v>137</v>
      </c>
      <c r="K34" s="53" t="s">
        <v>42</v>
      </c>
      <c r="L34">
        <v>1</v>
      </c>
      <c r="N34" s="38" t="s">
        <v>138</v>
      </c>
    </row>
    <row r="35" spans="10:14" x14ac:dyDescent="0.2">
      <c r="J35" s="38" t="s">
        <v>139</v>
      </c>
      <c r="K35" s="53" t="s">
        <v>42</v>
      </c>
      <c r="L35">
        <v>1</v>
      </c>
      <c r="N35" s="38" t="s">
        <v>138</v>
      </c>
    </row>
    <row r="36" spans="10:14" x14ac:dyDescent="0.2">
      <c r="J36" s="38" t="s">
        <v>140</v>
      </c>
      <c r="K36" s="53" t="s">
        <v>42</v>
      </c>
      <c r="L36">
        <v>1</v>
      </c>
      <c r="N36" s="38" t="s">
        <v>141</v>
      </c>
    </row>
    <row r="37" spans="10:14" x14ac:dyDescent="0.2">
      <c r="J37" s="38" t="s">
        <v>142</v>
      </c>
      <c r="K37" s="53" t="s">
        <v>42</v>
      </c>
      <c r="L37">
        <v>1</v>
      </c>
      <c r="N37" s="38" t="s">
        <v>141</v>
      </c>
    </row>
    <row r="38" spans="10:14" x14ac:dyDescent="0.2">
      <c r="J38" s="38" t="s">
        <v>143</v>
      </c>
      <c r="K38" s="53" t="s">
        <v>42</v>
      </c>
      <c r="L38">
        <v>1</v>
      </c>
      <c r="N38" s="38" t="s">
        <v>144</v>
      </c>
    </row>
    <row r="39" spans="10:14" x14ac:dyDescent="0.2">
      <c r="J39" s="38" t="s">
        <v>145</v>
      </c>
      <c r="K39" s="53" t="s">
        <v>42</v>
      </c>
      <c r="L39">
        <v>1</v>
      </c>
      <c r="N39" s="38" t="s">
        <v>144</v>
      </c>
    </row>
    <row r="40" spans="10:14" x14ac:dyDescent="0.2">
      <c r="J40" s="38" t="s">
        <v>146</v>
      </c>
      <c r="K40" s="53" t="s">
        <v>42</v>
      </c>
      <c r="L40">
        <v>1</v>
      </c>
      <c r="N40" s="38" t="s">
        <v>147</v>
      </c>
    </row>
    <row r="41" spans="10:14" x14ac:dyDescent="0.2">
      <c r="J41" s="38" t="s">
        <v>148</v>
      </c>
      <c r="K41" s="53" t="s">
        <v>42</v>
      </c>
      <c r="L41">
        <v>1</v>
      </c>
      <c r="N41" s="38" t="s">
        <v>147</v>
      </c>
    </row>
    <row r="42" spans="10:14" x14ac:dyDescent="0.2">
      <c r="J42" s="38" t="s">
        <v>149</v>
      </c>
      <c r="K42" s="53" t="s">
        <v>42</v>
      </c>
      <c r="L42">
        <v>1</v>
      </c>
      <c r="N42" s="38" t="s">
        <v>150</v>
      </c>
    </row>
    <row r="43" spans="10:14" x14ac:dyDescent="0.2">
      <c r="J43" s="38" t="s">
        <v>151</v>
      </c>
      <c r="K43" s="53" t="s">
        <v>42</v>
      </c>
      <c r="L43">
        <v>1</v>
      </c>
      <c r="N43" s="38" t="s">
        <v>150</v>
      </c>
    </row>
    <row r="44" spans="10:14" x14ac:dyDescent="0.2">
      <c r="J44" s="38" t="s">
        <v>152</v>
      </c>
      <c r="K44" s="53" t="s">
        <v>42</v>
      </c>
      <c r="L44">
        <v>1</v>
      </c>
      <c r="N44" s="38" t="s">
        <v>153</v>
      </c>
    </row>
    <row r="45" spans="10:14" x14ac:dyDescent="0.2">
      <c r="J45" s="38" t="s">
        <v>154</v>
      </c>
      <c r="K45" s="53" t="s">
        <v>42</v>
      </c>
      <c r="L45">
        <v>1</v>
      </c>
      <c r="N45" s="38" t="s">
        <v>153</v>
      </c>
    </row>
    <row r="46" spans="10:14" x14ac:dyDescent="0.2">
      <c r="J46" s="38" t="s">
        <v>155</v>
      </c>
      <c r="K46" s="53" t="s">
        <v>42</v>
      </c>
      <c r="L46">
        <v>1</v>
      </c>
      <c r="N46" s="38" t="s">
        <v>156</v>
      </c>
    </row>
    <row r="47" spans="10:14" x14ac:dyDescent="0.2">
      <c r="J47" s="38" t="s">
        <v>157</v>
      </c>
      <c r="K47" s="53" t="s">
        <v>42</v>
      </c>
      <c r="L47">
        <v>1</v>
      </c>
      <c r="N47" s="38" t="s">
        <v>156</v>
      </c>
    </row>
    <row r="48" spans="10:14" x14ac:dyDescent="0.2">
      <c r="J48" s="38" t="s">
        <v>158</v>
      </c>
      <c r="K48" s="53" t="s">
        <v>43</v>
      </c>
      <c r="L48">
        <v>2</v>
      </c>
      <c r="N48" s="38" t="s">
        <v>159</v>
      </c>
    </row>
    <row r="49" spans="10:14" x14ac:dyDescent="0.2">
      <c r="J49" s="38" t="s">
        <v>160</v>
      </c>
      <c r="K49" s="53" t="s">
        <v>43</v>
      </c>
      <c r="L49">
        <v>2</v>
      </c>
      <c r="N49" s="38" t="s">
        <v>159</v>
      </c>
    </row>
    <row r="50" spans="10:14" x14ac:dyDescent="0.2">
      <c r="J50" s="38" t="s">
        <v>161</v>
      </c>
      <c r="K50" s="53" t="s">
        <v>43</v>
      </c>
      <c r="L50">
        <v>2</v>
      </c>
      <c r="N50" s="38" t="s">
        <v>162</v>
      </c>
    </row>
    <row r="51" spans="10:14" x14ac:dyDescent="0.2">
      <c r="J51" s="38" t="s">
        <v>163</v>
      </c>
      <c r="K51" s="53" t="s">
        <v>43</v>
      </c>
      <c r="L51">
        <v>2</v>
      </c>
      <c r="N51" s="38" t="s">
        <v>162</v>
      </c>
    </row>
    <row r="52" spans="10:14" x14ac:dyDescent="0.2">
      <c r="J52" s="38" t="s">
        <v>164</v>
      </c>
      <c r="K52" s="53" t="s">
        <v>43</v>
      </c>
      <c r="L52">
        <v>2</v>
      </c>
      <c r="N52" s="38" t="s">
        <v>165</v>
      </c>
    </row>
    <row r="53" spans="10:14" x14ac:dyDescent="0.2">
      <c r="J53" s="38" t="s">
        <v>166</v>
      </c>
      <c r="K53" s="53" t="s">
        <v>43</v>
      </c>
      <c r="L53">
        <v>2</v>
      </c>
      <c r="N53" s="38" t="s">
        <v>165</v>
      </c>
    </row>
    <row r="54" spans="10:14" x14ac:dyDescent="0.2">
      <c r="J54" s="38" t="s">
        <v>167</v>
      </c>
      <c r="K54" s="53" t="s">
        <v>43</v>
      </c>
      <c r="L54">
        <v>2</v>
      </c>
      <c r="N54" s="38" t="s">
        <v>168</v>
      </c>
    </row>
    <row r="55" spans="10:14" x14ac:dyDescent="0.2">
      <c r="J55" s="38" t="s">
        <v>169</v>
      </c>
      <c r="K55" s="53" t="s">
        <v>43</v>
      </c>
      <c r="L55">
        <v>2</v>
      </c>
      <c r="N55" s="38" t="s">
        <v>168</v>
      </c>
    </row>
    <row r="56" spans="10:14" x14ac:dyDescent="0.2">
      <c r="J56" s="38" t="s">
        <v>73</v>
      </c>
      <c r="K56" s="53" t="s">
        <v>43</v>
      </c>
      <c r="L56">
        <v>2</v>
      </c>
      <c r="N56" s="38" t="s">
        <v>71</v>
      </c>
    </row>
    <row r="57" spans="10:14" x14ac:dyDescent="0.2">
      <c r="J57" s="38" t="s">
        <v>74</v>
      </c>
      <c r="K57" s="53" t="s">
        <v>43</v>
      </c>
      <c r="L57">
        <v>2</v>
      </c>
      <c r="N57" s="38" t="s">
        <v>71</v>
      </c>
    </row>
    <row r="58" spans="10:14" x14ac:dyDescent="0.2">
      <c r="J58" s="38" t="s">
        <v>170</v>
      </c>
      <c r="K58" s="53" t="s">
        <v>43</v>
      </c>
      <c r="L58">
        <v>2</v>
      </c>
      <c r="N58" s="38" t="s">
        <v>171</v>
      </c>
    </row>
    <row r="59" spans="10:14" x14ac:dyDescent="0.2">
      <c r="J59" s="38" t="s">
        <v>172</v>
      </c>
      <c r="K59" s="53" t="s">
        <v>43</v>
      </c>
      <c r="L59">
        <v>2</v>
      </c>
      <c r="N59" s="38" t="s">
        <v>171</v>
      </c>
    </row>
    <row r="60" spans="10:14" x14ac:dyDescent="0.2">
      <c r="J60" s="38" t="s">
        <v>173</v>
      </c>
      <c r="K60" s="53" t="s">
        <v>43</v>
      </c>
      <c r="L60">
        <v>2</v>
      </c>
      <c r="N60" s="38" t="s">
        <v>174</v>
      </c>
    </row>
    <row r="61" spans="10:14" x14ac:dyDescent="0.2">
      <c r="J61" s="38" t="s">
        <v>175</v>
      </c>
      <c r="K61" s="53" t="s">
        <v>43</v>
      </c>
      <c r="L61">
        <v>2</v>
      </c>
      <c r="N61" s="38" t="s">
        <v>174</v>
      </c>
    </row>
    <row r="62" spans="10:14" x14ac:dyDescent="0.2">
      <c r="J62" s="38" t="s">
        <v>176</v>
      </c>
      <c r="K62" s="53" t="s">
        <v>43</v>
      </c>
      <c r="L62">
        <v>2</v>
      </c>
      <c r="N62" s="38" t="s">
        <v>177</v>
      </c>
    </row>
    <row r="63" spans="10:14" x14ac:dyDescent="0.2">
      <c r="J63" s="38" t="s">
        <v>178</v>
      </c>
      <c r="K63" s="53" t="s">
        <v>43</v>
      </c>
      <c r="L63">
        <v>2</v>
      </c>
      <c r="N63" s="38" t="s">
        <v>177</v>
      </c>
    </row>
    <row r="64" spans="10:14" x14ac:dyDescent="0.2">
      <c r="J64" s="38" t="s">
        <v>179</v>
      </c>
      <c r="K64" s="53" t="s">
        <v>43</v>
      </c>
      <c r="L64">
        <v>2</v>
      </c>
      <c r="N64" s="38" t="s">
        <v>180</v>
      </c>
    </row>
    <row r="65" spans="10:14" x14ac:dyDescent="0.2">
      <c r="J65" s="38" t="s">
        <v>181</v>
      </c>
      <c r="K65" s="53" t="s">
        <v>43</v>
      </c>
      <c r="L65">
        <v>2</v>
      </c>
      <c r="N65" s="38" t="s">
        <v>180</v>
      </c>
    </row>
    <row r="66" spans="10:14" x14ac:dyDescent="0.2">
      <c r="J66" s="38" t="s">
        <v>182</v>
      </c>
      <c r="K66" s="53" t="s">
        <v>43</v>
      </c>
      <c r="L66">
        <v>2</v>
      </c>
      <c r="N66" s="38" t="s">
        <v>183</v>
      </c>
    </row>
    <row r="67" spans="10:14" x14ac:dyDescent="0.2">
      <c r="J67" s="38" t="s">
        <v>184</v>
      </c>
      <c r="K67" s="53" t="s">
        <v>43</v>
      </c>
      <c r="L67">
        <v>2</v>
      </c>
      <c r="N67" s="38" t="s">
        <v>183</v>
      </c>
    </row>
    <row r="68" spans="10:14" x14ac:dyDescent="0.2">
      <c r="J68" s="38" t="s">
        <v>185</v>
      </c>
      <c r="K68" s="53" t="s">
        <v>45</v>
      </c>
      <c r="L68">
        <v>4</v>
      </c>
      <c r="N68" s="38" t="s">
        <v>186</v>
      </c>
    </row>
    <row r="69" spans="10:14" x14ac:dyDescent="0.2">
      <c r="J69" s="38" t="s">
        <v>187</v>
      </c>
      <c r="K69" s="53" t="s">
        <v>45</v>
      </c>
      <c r="L69">
        <v>4</v>
      </c>
      <c r="N69" s="38" t="s">
        <v>188</v>
      </c>
    </row>
    <row r="70" spans="10:14" x14ac:dyDescent="0.2">
      <c r="J70" s="38" t="s">
        <v>189</v>
      </c>
      <c r="K70" s="53" t="s">
        <v>45</v>
      </c>
      <c r="L70">
        <v>4</v>
      </c>
      <c r="N70" s="38" t="s">
        <v>190</v>
      </c>
    </row>
    <row r="71" spans="10:14" x14ac:dyDescent="0.2">
      <c r="J71" s="38" t="s">
        <v>191</v>
      </c>
      <c r="K71" s="53" t="s">
        <v>45</v>
      </c>
      <c r="L71">
        <v>4</v>
      </c>
      <c r="N71" s="38" t="s">
        <v>192</v>
      </c>
    </row>
    <row r="72" spans="10:14" x14ac:dyDescent="0.2">
      <c r="J72" s="38" t="s">
        <v>193</v>
      </c>
      <c r="K72" s="53" t="s">
        <v>45</v>
      </c>
      <c r="L72">
        <v>4</v>
      </c>
      <c r="N72" s="38" t="s">
        <v>194</v>
      </c>
    </row>
    <row r="73" spans="10:14" x14ac:dyDescent="0.2">
      <c r="J73" s="38" t="s">
        <v>195</v>
      </c>
      <c r="K73" s="53" t="s">
        <v>45</v>
      </c>
      <c r="L73">
        <v>4</v>
      </c>
      <c r="N73" s="38" t="s">
        <v>196</v>
      </c>
    </row>
    <row r="74" spans="10:14" x14ac:dyDescent="0.2">
      <c r="J74" s="38" t="s">
        <v>197</v>
      </c>
      <c r="K74" s="53" t="s">
        <v>45</v>
      </c>
      <c r="L74">
        <v>4</v>
      </c>
      <c r="N74" s="38" t="s">
        <v>198</v>
      </c>
    </row>
    <row r="75" spans="10:14" x14ac:dyDescent="0.2">
      <c r="J75" s="38" t="s">
        <v>199</v>
      </c>
      <c r="K75" s="53" t="s">
        <v>45</v>
      </c>
      <c r="L75">
        <v>4</v>
      </c>
      <c r="N75" s="38" t="s">
        <v>200</v>
      </c>
    </row>
    <row r="76" spans="10:14" x14ac:dyDescent="0.2">
      <c r="J76" s="38" t="s">
        <v>201</v>
      </c>
      <c r="K76" s="53" t="s">
        <v>45</v>
      </c>
      <c r="L76">
        <v>4</v>
      </c>
      <c r="N76" s="38" t="s">
        <v>202</v>
      </c>
    </row>
    <row r="77" spans="10:14" x14ac:dyDescent="0.2">
      <c r="J77" s="38" t="s">
        <v>203</v>
      </c>
      <c r="K77" s="53" t="s">
        <v>45</v>
      </c>
      <c r="L77">
        <v>4</v>
      </c>
      <c r="N77" s="38" t="s">
        <v>204</v>
      </c>
    </row>
    <row r="78" spans="10:14" x14ac:dyDescent="0.2">
      <c r="J78" s="38" t="s">
        <v>205</v>
      </c>
      <c r="K78" s="53" t="s">
        <v>44</v>
      </c>
      <c r="L78">
        <v>3</v>
      </c>
      <c r="N78" s="38" t="s">
        <v>206</v>
      </c>
    </row>
    <row r="79" spans="10:14" x14ac:dyDescent="0.2">
      <c r="J79" s="38" t="s">
        <v>207</v>
      </c>
      <c r="K79" s="53" t="s">
        <v>44</v>
      </c>
      <c r="L79">
        <v>3</v>
      </c>
      <c r="N79" s="38" t="s">
        <v>206</v>
      </c>
    </row>
    <row r="80" spans="10:14" x14ac:dyDescent="0.2">
      <c r="J80" s="38" t="s">
        <v>208</v>
      </c>
      <c r="K80" s="53" t="s">
        <v>44</v>
      </c>
      <c r="L80">
        <v>3</v>
      </c>
      <c r="N80" s="38" t="s">
        <v>209</v>
      </c>
    </row>
    <row r="81" spans="10:14" x14ac:dyDescent="0.2">
      <c r="J81" s="38" t="s">
        <v>210</v>
      </c>
      <c r="K81" s="53" t="s">
        <v>44</v>
      </c>
      <c r="L81">
        <v>3</v>
      </c>
      <c r="N81" s="38" t="s">
        <v>209</v>
      </c>
    </row>
    <row r="82" spans="10:14" x14ac:dyDescent="0.2">
      <c r="J82" s="38" t="s">
        <v>211</v>
      </c>
      <c r="K82" s="53" t="s">
        <v>44</v>
      </c>
      <c r="L82">
        <v>3</v>
      </c>
      <c r="N82" s="38" t="s">
        <v>209</v>
      </c>
    </row>
    <row r="83" spans="10:14" x14ac:dyDescent="0.2">
      <c r="J83" s="38" t="s">
        <v>212</v>
      </c>
      <c r="K83" s="53" t="s">
        <v>44</v>
      </c>
      <c r="L83">
        <v>3</v>
      </c>
      <c r="N83" s="38" t="s">
        <v>213</v>
      </c>
    </row>
    <row r="84" spans="10:14" x14ac:dyDescent="0.2">
      <c r="J84" s="38" t="s">
        <v>214</v>
      </c>
      <c r="K84" s="53" t="s">
        <v>44</v>
      </c>
      <c r="L84">
        <v>3</v>
      </c>
      <c r="N84" s="38" t="s">
        <v>213</v>
      </c>
    </row>
    <row r="85" spans="10:14" x14ac:dyDescent="0.2">
      <c r="J85" s="38" t="s">
        <v>215</v>
      </c>
      <c r="K85" s="53" t="s">
        <v>44</v>
      </c>
      <c r="L85">
        <v>3</v>
      </c>
      <c r="N85" s="38" t="s">
        <v>213</v>
      </c>
    </row>
    <row r="86" spans="10:14" x14ac:dyDescent="0.2">
      <c r="J86" s="38" t="s">
        <v>216</v>
      </c>
      <c r="K86" s="53" t="s">
        <v>44</v>
      </c>
      <c r="L86">
        <v>3</v>
      </c>
      <c r="N86" s="38" t="s">
        <v>217</v>
      </c>
    </row>
    <row r="87" spans="10:14" x14ac:dyDescent="0.2">
      <c r="J87" s="38" t="s">
        <v>218</v>
      </c>
      <c r="K87" s="53" t="s">
        <v>44</v>
      </c>
      <c r="L87">
        <v>3</v>
      </c>
      <c r="N87" s="38" t="s">
        <v>217</v>
      </c>
    </row>
    <row r="88" spans="10:14" x14ac:dyDescent="0.2">
      <c r="J88" s="38" t="s">
        <v>219</v>
      </c>
      <c r="K88" s="53" t="s">
        <v>44</v>
      </c>
      <c r="L88">
        <v>3</v>
      </c>
      <c r="N88" s="38" t="s">
        <v>217</v>
      </c>
    </row>
    <row r="89" spans="10:14" x14ac:dyDescent="0.2">
      <c r="J89" s="38" t="s">
        <v>220</v>
      </c>
      <c r="K89" s="53" t="s">
        <v>44</v>
      </c>
      <c r="L89">
        <v>3</v>
      </c>
      <c r="N89" s="38" t="s">
        <v>221</v>
      </c>
    </row>
    <row r="90" spans="10:14" x14ac:dyDescent="0.2">
      <c r="J90" s="38" t="s">
        <v>222</v>
      </c>
      <c r="K90" s="53" t="s">
        <v>44</v>
      </c>
      <c r="L90">
        <v>3</v>
      </c>
      <c r="N90" s="38" t="s">
        <v>221</v>
      </c>
    </row>
    <row r="91" spans="10:14" x14ac:dyDescent="0.2">
      <c r="J91" s="38" t="s">
        <v>223</v>
      </c>
      <c r="K91" s="53" t="s">
        <v>44</v>
      </c>
      <c r="L91">
        <v>3</v>
      </c>
      <c r="N91" s="38" t="s">
        <v>221</v>
      </c>
    </row>
    <row r="92" spans="10:14" x14ac:dyDescent="0.2">
      <c r="J92" s="38" t="s">
        <v>224</v>
      </c>
      <c r="K92" s="53" t="s">
        <v>44</v>
      </c>
      <c r="L92">
        <v>3</v>
      </c>
      <c r="N92" s="38" t="s">
        <v>225</v>
      </c>
    </row>
    <row r="93" spans="10:14" x14ac:dyDescent="0.2">
      <c r="J93" s="38" t="s">
        <v>226</v>
      </c>
      <c r="K93" s="53" t="s">
        <v>44</v>
      </c>
      <c r="L93">
        <v>3</v>
      </c>
      <c r="N93" s="38" t="s">
        <v>225</v>
      </c>
    </row>
    <row r="94" spans="10:14" x14ac:dyDescent="0.2">
      <c r="J94" s="38" t="s">
        <v>227</v>
      </c>
      <c r="K94" s="53" t="s">
        <v>44</v>
      </c>
      <c r="L94">
        <v>3</v>
      </c>
      <c r="N94" s="38" t="s">
        <v>225</v>
      </c>
    </row>
    <row r="95" spans="10:14" x14ac:dyDescent="0.2">
      <c r="J95" s="38" t="s">
        <v>228</v>
      </c>
      <c r="K95" s="53" t="s">
        <v>44</v>
      </c>
      <c r="L95">
        <v>3</v>
      </c>
      <c r="N95" s="38" t="s">
        <v>229</v>
      </c>
    </row>
    <row r="96" spans="10:14" x14ac:dyDescent="0.2">
      <c r="J96" s="38" t="s">
        <v>230</v>
      </c>
      <c r="K96" s="53" t="s">
        <v>44</v>
      </c>
      <c r="L96">
        <v>3</v>
      </c>
      <c r="N96" s="38" t="s">
        <v>229</v>
      </c>
    </row>
    <row r="97" spans="10:14" x14ac:dyDescent="0.2">
      <c r="J97" s="38" t="s">
        <v>231</v>
      </c>
      <c r="K97" s="53" t="s">
        <v>44</v>
      </c>
      <c r="L97">
        <v>3</v>
      </c>
      <c r="N97" s="38" t="s">
        <v>229</v>
      </c>
    </row>
    <row r="98" spans="10:14" x14ac:dyDescent="0.2">
      <c r="J98" s="38" t="s">
        <v>232</v>
      </c>
      <c r="K98" s="53" t="s">
        <v>44</v>
      </c>
      <c r="L98">
        <v>3</v>
      </c>
      <c r="N98" s="38" t="s">
        <v>233</v>
      </c>
    </row>
    <row r="99" spans="10:14" x14ac:dyDescent="0.2">
      <c r="J99" s="38" t="s">
        <v>234</v>
      </c>
      <c r="K99" s="53" t="s">
        <v>44</v>
      </c>
      <c r="L99">
        <v>3</v>
      </c>
      <c r="N99" s="38" t="s">
        <v>233</v>
      </c>
    </row>
    <row r="100" spans="10:14" x14ac:dyDescent="0.2">
      <c r="J100" s="38" t="s">
        <v>235</v>
      </c>
      <c r="K100" s="53" t="s">
        <v>44</v>
      </c>
      <c r="L100">
        <v>3</v>
      </c>
      <c r="N100" s="38" t="s">
        <v>233</v>
      </c>
    </row>
    <row r="101" spans="10:14" x14ac:dyDescent="0.2">
      <c r="J101" s="38" t="s">
        <v>236</v>
      </c>
      <c r="K101" s="53" t="s">
        <v>44</v>
      </c>
      <c r="L101">
        <v>3</v>
      </c>
      <c r="N101" s="38" t="s">
        <v>237</v>
      </c>
    </row>
    <row r="102" spans="10:14" x14ac:dyDescent="0.2">
      <c r="J102" s="38" t="s">
        <v>238</v>
      </c>
      <c r="K102" s="53" t="s">
        <v>44</v>
      </c>
      <c r="L102">
        <v>3</v>
      </c>
      <c r="N102" s="38" t="s">
        <v>237</v>
      </c>
    </row>
    <row r="103" spans="10:14" x14ac:dyDescent="0.2">
      <c r="J103" s="38" t="s">
        <v>239</v>
      </c>
      <c r="K103" s="53" t="s">
        <v>44</v>
      </c>
      <c r="L103">
        <v>3</v>
      </c>
      <c r="N103" s="38" t="s">
        <v>237</v>
      </c>
    </row>
    <row r="104" spans="10:14" x14ac:dyDescent="0.2">
      <c r="J104" s="38" t="s">
        <v>240</v>
      </c>
      <c r="K104" s="53" t="s">
        <v>44</v>
      </c>
      <c r="L104">
        <v>3</v>
      </c>
      <c r="N104" s="38" t="s">
        <v>241</v>
      </c>
    </row>
    <row r="105" spans="10:14" x14ac:dyDescent="0.2">
      <c r="J105" s="38" t="s">
        <v>242</v>
      </c>
      <c r="K105" s="53" t="s">
        <v>44</v>
      </c>
      <c r="L105">
        <v>3</v>
      </c>
      <c r="N105" s="38" t="s">
        <v>241</v>
      </c>
    </row>
    <row r="106" spans="10:14" x14ac:dyDescent="0.2">
      <c r="J106" s="38" t="s">
        <v>243</v>
      </c>
      <c r="K106" s="53" t="s">
        <v>44</v>
      </c>
      <c r="L106">
        <v>3</v>
      </c>
      <c r="N106" s="38" t="s">
        <v>241</v>
      </c>
    </row>
    <row r="107" spans="10:14" x14ac:dyDescent="0.2">
      <c r="J107" s="38" t="s">
        <v>244</v>
      </c>
      <c r="K107" s="53" t="s">
        <v>44</v>
      </c>
      <c r="L107">
        <v>3</v>
      </c>
      <c r="N107" s="38" t="s">
        <v>245</v>
      </c>
    </row>
    <row r="108" spans="10:14" x14ac:dyDescent="0.2">
      <c r="J108" s="38" t="s">
        <v>246</v>
      </c>
      <c r="K108" s="53" t="s">
        <v>44</v>
      </c>
      <c r="L108">
        <v>3</v>
      </c>
      <c r="N108" s="38" t="s">
        <v>245</v>
      </c>
    </row>
    <row r="109" spans="10:14" x14ac:dyDescent="0.2">
      <c r="J109" s="38" t="s">
        <v>247</v>
      </c>
      <c r="K109" s="53" t="s">
        <v>44</v>
      </c>
      <c r="L109">
        <v>3</v>
      </c>
      <c r="N109" s="38" t="s">
        <v>245</v>
      </c>
    </row>
    <row r="110" spans="10:14" x14ac:dyDescent="0.2">
      <c r="J110" s="38" t="s">
        <v>248</v>
      </c>
      <c r="K110" s="53" t="s">
        <v>44</v>
      </c>
      <c r="L110">
        <v>3</v>
      </c>
      <c r="N110" s="38" t="s">
        <v>249</v>
      </c>
    </row>
    <row r="111" spans="10:14" x14ac:dyDescent="0.2">
      <c r="J111" s="38" t="s">
        <v>250</v>
      </c>
      <c r="K111" s="53" t="s">
        <v>44</v>
      </c>
      <c r="L111">
        <v>3</v>
      </c>
      <c r="N111" s="38" t="s">
        <v>249</v>
      </c>
    </row>
    <row r="112" spans="10:14" x14ac:dyDescent="0.2">
      <c r="J112" s="38" t="s">
        <v>251</v>
      </c>
      <c r="K112" s="53" t="s">
        <v>44</v>
      </c>
      <c r="L112">
        <v>3</v>
      </c>
      <c r="N112" s="38" t="s">
        <v>249</v>
      </c>
    </row>
    <row r="113" spans="10:14" x14ac:dyDescent="0.2">
      <c r="J113" s="38" t="s">
        <v>252</v>
      </c>
      <c r="K113" s="53" t="s">
        <v>44</v>
      </c>
      <c r="L113">
        <v>3</v>
      </c>
      <c r="N113" s="38" t="s">
        <v>253</v>
      </c>
    </row>
    <row r="114" spans="10:14" x14ac:dyDescent="0.2">
      <c r="J114" s="38" t="s">
        <v>254</v>
      </c>
      <c r="K114" s="53" t="s">
        <v>44</v>
      </c>
      <c r="L114">
        <v>3</v>
      </c>
      <c r="N114" s="38" t="s">
        <v>253</v>
      </c>
    </row>
    <row r="115" spans="10:14" x14ac:dyDescent="0.2">
      <c r="J115" s="38" t="s">
        <v>255</v>
      </c>
      <c r="K115" s="53" t="s">
        <v>44</v>
      </c>
      <c r="L115">
        <v>3</v>
      </c>
      <c r="N115" s="38" t="s">
        <v>253</v>
      </c>
    </row>
    <row r="116" spans="10:14" x14ac:dyDescent="0.2">
      <c r="J116" s="38" t="s">
        <v>256</v>
      </c>
      <c r="K116" s="53" t="s">
        <v>44</v>
      </c>
      <c r="L116">
        <v>3</v>
      </c>
      <c r="N116" s="38" t="s">
        <v>257</v>
      </c>
    </row>
    <row r="117" spans="10:14" x14ac:dyDescent="0.2">
      <c r="J117" s="38" t="s">
        <v>258</v>
      </c>
      <c r="K117" s="53" t="s">
        <v>44</v>
      </c>
      <c r="L117">
        <v>3</v>
      </c>
      <c r="N117" s="38" t="s">
        <v>257</v>
      </c>
    </row>
    <row r="118" spans="10:14" x14ac:dyDescent="0.2">
      <c r="J118" s="38" t="s">
        <v>259</v>
      </c>
      <c r="K118" s="53" t="s">
        <v>44</v>
      </c>
      <c r="L118">
        <v>3</v>
      </c>
      <c r="N118" s="38" t="s">
        <v>257</v>
      </c>
    </row>
    <row r="119" spans="10:14" x14ac:dyDescent="0.2">
      <c r="J119" s="38" t="s">
        <v>260</v>
      </c>
      <c r="K119" s="53" t="s">
        <v>44</v>
      </c>
      <c r="L119">
        <v>3</v>
      </c>
      <c r="N119" s="38" t="s">
        <v>261</v>
      </c>
    </row>
    <row r="120" spans="10:14" x14ac:dyDescent="0.2">
      <c r="J120" s="38" t="s">
        <v>262</v>
      </c>
      <c r="K120" s="53" t="s">
        <v>44</v>
      </c>
      <c r="L120">
        <v>3</v>
      </c>
      <c r="N120" s="38" t="s">
        <v>261</v>
      </c>
    </row>
    <row r="121" spans="10:14" x14ac:dyDescent="0.2">
      <c r="J121" s="38" t="s">
        <v>263</v>
      </c>
      <c r="K121" s="53" t="s">
        <v>44</v>
      </c>
      <c r="L121">
        <v>3</v>
      </c>
      <c r="N121" s="38" t="s">
        <v>264</v>
      </c>
    </row>
    <row r="122" spans="10:14" x14ac:dyDescent="0.2">
      <c r="J122" s="38" t="s">
        <v>265</v>
      </c>
      <c r="K122" s="53" t="s">
        <v>44</v>
      </c>
      <c r="L122">
        <v>3</v>
      </c>
      <c r="N122" s="38" t="s">
        <v>264</v>
      </c>
    </row>
    <row r="123" spans="10:14" x14ac:dyDescent="0.2">
      <c r="J123" s="38" t="s">
        <v>266</v>
      </c>
      <c r="K123" s="53" t="s">
        <v>44</v>
      </c>
      <c r="L123">
        <v>3</v>
      </c>
      <c r="N123" s="38" t="s">
        <v>267</v>
      </c>
    </row>
    <row r="124" spans="10:14" x14ac:dyDescent="0.2">
      <c r="J124" s="38" t="s">
        <v>268</v>
      </c>
      <c r="K124" s="53" t="s">
        <v>44</v>
      </c>
      <c r="L124">
        <v>3</v>
      </c>
      <c r="N124" s="38" t="s">
        <v>267</v>
      </c>
    </row>
    <row r="125" spans="10:14" x14ac:dyDescent="0.2">
      <c r="J125" s="38" t="s">
        <v>269</v>
      </c>
      <c r="K125" s="53" t="s">
        <v>44</v>
      </c>
      <c r="L125">
        <v>3</v>
      </c>
      <c r="N125" s="38" t="s">
        <v>267</v>
      </c>
    </row>
    <row r="126" spans="10:14" x14ac:dyDescent="0.2">
      <c r="J126" s="38" t="s">
        <v>270</v>
      </c>
      <c r="K126" s="53" t="s">
        <v>44</v>
      </c>
      <c r="L126">
        <v>3</v>
      </c>
      <c r="N126" s="38" t="s">
        <v>271</v>
      </c>
    </row>
    <row r="127" spans="10:14" x14ac:dyDescent="0.2">
      <c r="J127" s="38" t="s">
        <v>272</v>
      </c>
      <c r="K127" s="53" t="s">
        <v>44</v>
      </c>
      <c r="L127">
        <v>3</v>
      </c>
      <c r="N127" s="38" t="s">
        <v>271</v>
      </c>
    </row>
    <row r="128" spans="10:14" x14ac:dyDescent="0.2">
      <c r="J128" s="38" t="s">
        <v>273</v>
      </c>
      <c r="K128" s="53" t="s">
        <v>44</v>
      </c>
      <c r="L128">
        <v>3</v>
      </c>
      <c r="N128" s="38" t="s">
        <v>271</v>
      </c>
    </row>
    <row r="129" spans="10:14" x14ac:dyDescent="0.2">
      <c r="J129" s="38" t="s">
        <v>274</v>
      </c>
      <c r="K129" s="53" t="s">
        <v>44</v>
      </c>
      <c r="L129">
        <v>3</v>
      </c>
      <c r="N129" s="38" t="s">
        <v>275</v>
      </c>
    </row>
    <row r="130" spans="10:14" x14ac:dyDescent="0.2">
      <c r="J130" s="38" t="s">
        <v>276</v>
      </c>
      <c r="K130" s="53" t="s">
        <v>44</v>
      </c>
      <c r="L130">
        <v>3</v>
      </c>
      <c r="N130" s="38" t="s">
        <v>275</v>
      </c>
    </row>
    <row r="131" spans="10:14" x14ac:dyDescent="0.2">
      <c r="J131" s="38" t="s">
        <v>277</v>
      </c>
      <c r="K131" s="53" t="s">
        <v>44</v>
      </c>
      <c r="L131">
        <v>3</v>
      </c>
      <c r="N131" s="38" t="s">
        <v>275</v>
      </c>
    </row>
    <row r="132" spans="10:14" x14ac:dyDescent="0.2">
      <c r="J132" s="38" t="s">
        <v>278</v>
      </c>
      <c r="K132" s="53" t="s">
        <v>44</v>
      </c>
      <c r="L132">
        <v>3</v>
      </c>
      <c r="N132" s="38" t="s">
        <v>279</v>
      </c>
    </row>
    <row r="133" spans="10:14" x14ac:dyDescent="0.2">
      <c r="J133" s="38" t="s">
        <v>280</v>
      </c>
      <c r="K133" s="53" t="s">
        <v>44</v>
      </c>
      <c r="L133">
        <v>3</v>
      </c>
      <c r="N133" s="38" t="s">
        <v>279</v>
      </c>
    </row>
    <row r="134" spans="10:14" x14ac:dyDescent="0.2">
      <c r="J134" s="38" t="s">
        <v>281</v>
      </c>
      <c r="K134" s="53" t="s">
        <v>44</v>
      </c>
      <c r="L134">
        <v>3</v>
      </c>
      <c r="N134" s="38" t="s">
        <v>279</v>
      </c>
    </row>
    <row r="135" spans="10:14" x14ac:dyDescent="0.2">
      <c r="J135" s="38" t="s">
        <v>282</v>
      </c>
      <c r="K135" s="53" t="s">
        <v>44</v>
      </c>
      <c r="L135">
        <v>3</v>
      </c>
      <c r="N135" s="38" t="s">
        <v>283</v>
      </c>
    </row>
    <row r="136" spans="10:14" x14ac:dyDescent="0.2">
      <c r="J136" s="38" t="s">
        <v>284</v>
      </c>
      <c r="K136" s="53" t="s">
        <v>44</v>
      </c>
      <c r="L136">
        <v>3</v>
      </c>
      <c r="N136" s="38" t="s">
        <v>283</v>
      </c>
    </row>
    <row r="137" spans="10:14" x14ac:dyDescent="0.2">
      <c r="J137" s="38" t="s">
        <v>285</v>
      </c>
      <c r="K137" s="53" t="s">
        <v>44</v>
      </c>
      <c r="L137">
        <v>3</v>
      </c>
      <c r="N137" s="38" t="s">
        <v>283</v>
      </c>
    </row>
    <row r="138" spans="10:14" x14ac:dyDescent="0.2">
      <c r="J138" s="38" t="s">
        <v>286</v>
      </c>
      <c r="K138" s="53" t="s">
        <v>44</v>
      </c>
      <c r="L138">
        <v>3</v>
      </c>
      <c r="N138" s="38" t="s">
        <v>287</v>
      </c>
    </row>
    <row r="139" spans="10:14" x14ac:dyDescent="0.2">
      <c r="J139" s="38" t="s">
        <v>288</v>
      </c>
      <c r="K139" s="53" t="s">
        <v>44</v>
      </c>
      <c r="L139">
        <v>3</v>
      </c>
      <c r="N139" s="38" t="s">
        <v>287</v>
      </c>
    </row>
    <row r="140" spans="10:14" x14ac:dyDescent="0.2">
      <c r="J140" s="38" t="s">
        <v>289</v>
      </c>
      <c r="K140" s="53" t="s">
        <v>44</v>
      </c>
      <c r="L140">
        <v>3</v>
      </c>
      <c r="N140" s="38" t="s">
        <v>287</v>
      </c>
    </row>
    <row r="141" spans="10:14" x14ac:dyDescent="0.2">
      <c r="J141" s="38" t="s">
        <v>290</v>
      </c>
      <c r="K141" s="53" t="s">
        <v>44</v>
      </c>
      <c r="L141">
        <v>3</v>
      </c>
      <c r="N141" s="38" t="s">
        <v>291</v>
      </c>
    </row>
    <row r="142" spans="10:14" x14ac:dyDescent="0.2">
      <c r="J142" s="38" t="s">
        <v>292</v>
      </c>
      <c r="K142" s="53" t="s">
        <v>44</v>
      </c>
      <c r="L142">
        <v>3</v>
      </c>
      <c r="N142" s="38" t="s">
        <v>291</v>
      </c>
    </row>
    <row r="143" spans="10:14" x14ac:dyDescent="0.2">
      <c r="J143" s="38" t="s">
        <v>293</v>
      </c>
      <c r="K143" s="53" t="s">
        <v>44</v>
      </c>
      <c r="L143">
        <v>3</v>
      </c>
      <c r="N143" s="38" t="s">
        <v>294</v>
      </c>
    </row>
    <row r="144" spans="10:14" x14ac:dyDescent="0.2">
      <c r="J144" s="38" t="s">
        <v>295</v>
      </c>
      <c r="K144" s="53" t="s">
        <v>44</v>
      </c>
      <c r="L144">
        <v>3</v>
      </c>
      <c r="N144" s="38" t="s">
        <v>294</v>
      </c>
    </row>
    <row r="145" spans="10:14" x14ac:dyDescent="0.2">
      <c r="J145" s="38" t="s">
        <v>296</v>
      </c>
      <c r="K145" s="53" t="s">
        <v>44</v>
      </c>
      <c r="L145">
        <v>3</v>
      </c>
      <c r="N145" s="38" t="s">
        <v>297</v>
      </c>
    </row>
    <row r="146" spans="10:14" x14ac:dyDescent="0.2">
      <c r="J146" s="38" t="s">
        <v>298</v>
      </c>
      <c r="K146" s="53" t="s">
        <v>44</v>
      </c>
      <c r="L146">
        <v>3</v>
      </c>
      <c r="N146" s="38" t="s">
        <v>297</v>
      </c>
    </row>
    <row r="147" spans="10:14" x14ac:dyDescent="0.2">
      <c r="J147" s="38" t="s">
        <v>75</v>
      </c>
      <c r="K147" s="53" t="s">
        <v>44</v>
      </c>
      <c r="L147">
        <v>3</v>
      </c>
      <c r="N147" s="38" t="s">
        <v>72</v>
      </c>
    </row>
    <row r="148" spans="10:14" x14ac:dyDescent="0.2">
      <c r="J148" s="38" t="s">
        <v>76</v>
      </c>
      <c r="K148" s="53" t="s">
        <v>44</v>
      </c>
      <c r="L148">
        <v>3</v>
      </c>
      <c r="N148" s="38" t="s">
        <v>72</v>
      </c>
    </row>
    <row r="149" spans="10:14" x14ac:dyDescent="0.2">
      <c r="J149" s="38" t="s">
        <v>299</v>
      </c>
      <c r="K149" s="53" t="s">
        <v>44</v>
      </c>
      <c r="L149">
        <v>3</v>
      </c>
      <c r="N149" s="38" t="s">
        <v>300</v>
      </c>
    </row>
    <row r="150" spans="10:14" x14ac:dyDescent="0.2">
      <c r="J150" s="38" t="s">
        <v>301</v>
      </c>
      <c r="K150" s="53" t="s">
        <v>44</v>
      </c>
      <c r="L150">
        <v>3</v>
      </c>
      <c r="N150" s="38" t="s">
        <v>300</v>
      </c>
    </row>
    <row r="151" spans="10:14" x14ac:dyDescent="0.2">
      <c r="J151" s="38" t="s">
        <v>302</v>
      </c>
      <c r="K151" s="53" t="s">
        <v>44</v>
      </c>
      <c r="L151">
        <v>3</v>
      </c>
      <c r="N151" s="38" t="s">
        <v>303</v>
      </c>
    </row>
    <row r="152" spans="10:14" x14ac:dyDescent="0.2">
      <c r="J152" s="38" t="s">
        <v>304</v>
      </c>
      <c r="K152" s="53" t="s">
        <v>44</v>
      </c>
      <c r="L152">
        <v>3</v>
      </c>
      <c r="N152" s="38" t="s">
        <v>303</v>
      </c>
    </row>
    <row r="153" spans="10:14" x14ac:dyDescent="0.2">
      <c r="J153" s="38" t="s">
        <v>305</v>
      </c>
      <c r="K153" s="53" t="s">
        <v>44</v>
      </c>
      <c r="L153">
        <v>3</v>
      </c>
      <c r="N153" s="38" t="s">
        <v>306</v>
      </c>
    </row>
    <row r="154" spans="10:14" x14ac:dyDescent="0.2">
      <c r="J154" s="38" t="s">
        <v>307</v>
      </c>
      <c r="K154" s="53" t="s">
        <v>44</v>
      </c>
      <c r="L154">
        <v>3</v>
      </c>
      <c r="N154" s="38" t="s">
        <v>306</v>
      </c>
    </row>
    <row r="155" spans="10:14" x14ac:dyDescent="0.2">
      <c r="J155" s="38" t="s">
        <v>308</v>
      </c>
      <c r="K155" s="53" t="s">
        <v>44</v>
      </c>
      <c r="L155">
        <v>3</v>
      </c>
      <c r="N155" s="38" t="s">
        <v>306</v>
      </c>
    </row>
    <row r="156" spans="10:14" x14ac:dyDescent="0.2">
      <c r="J156" s="38" t="s">
        <v>309</v>
      </c>
      <c r="K156" s="53" t="s">
        <v>44</v>
      </c>
      <c r="L156">
        <v>3</v>
      </c>
      <c r="N156" s="38" t="s">
        <v>310</v>
      </c>
    </row>
    <row r="157" spans="10:14" x14ac:dyDescent="0.2">
      <c r="J157" s="38" t="s">
        <v>311</v>
      </c>
      <c r="K157" s="53" t="s">
        <v>44</v>
      </c>
      <c r="L157">
        <v>3</v>
      </c>
      <c r="N157" s="38" t="s">
        <v>310</v>
      </c>
    </row>
    <row r="158" spans="10:14" x14ac:dyDescent="0.2">
      <c r="J158" s="38" t="s">
        <v>312</v>
      </c>
      <c r="K158" s="53" t="s">
        <v>44</v>
      </c>
      <c r="L158">
        <v>3</v>
      </c>
      <c r="N158" s="38" t="s">
        <v>310</v>
      </c>
    </row>
    <row r="159" spans="10:14" x14ac:dyDescent="0.2">
      <c r="J159" s="38" t="s">
        <v>313</v>
      </c>
      <c r="K159" s="53" t="s">
        <v>44</v>
      </c>
      <c r="L159">
        <v>3</v>
      </c>
      <c r="N159" s="38" t="s">
        <v>314</v>
      </c>
    </row>
    <row r="160" spans="10:14" x14ac:dyDescent="0.2">
      <c r="J160" s="38" t="s">
        <v>315</v>
      </c>
      <c r="K160" s="53" t="s">
        <v>44</v>
      </c>
      <c r="L160">
        <v>3</v>
      </c>
      <c r="N160" s="38" t="s">
        <v>314</v>
      </c>
    </row>
    <row r="161" spans="10:14" x14ac:dyDescent="0.2">
      <c r="J161" s="38" t="s">
        <v>316</v>
      </c>
      <c r="K161" s="53" t="s">
        <v>44</v>
      </c>
      <c r="L161">
        <v>3</v>
      </c>
      <c r="N161" s="38" t="s">
        <v>314</v>
      </c>
    </row>
    <row r="162" spans="10:14" x14ac:dyDescent="0.2">
      <c r="J162" s="38" t="s">
        <v>317</v>
      </c>
      <c r="K162" s="53" t="s">
        <v>44</v>
      </c>
      <c r="L162">
        <v>3</v>
      </c>
      <c r="N162" s="38" t="s">
        <v>318</v>
      </c>
    </row>
    <row r="163" spans="10:14" x14ac:dyDescent="0.2">
      <c r="J163" s="38" t="s">
        <v>319</v>
      </c>
      <c r="K163" s="53" t="s">
        <v>44</v>
      </c>
      <c r="L163">
        <v>3</v>
      </c>
      <c r="N163" s="38" t="s">
        <v>318</v>
      </c>
    </row>
    <row r="164" spans="10:14" x14ac:dyDescent="0.2">
      <c r="J164" s="38" t="s">
        <v>320</v>
      </c>
      <c r="K164" s="53" t="s">
        <v>44</v>
      </c>
      <c r="L164">
        <v>3</v>
      </c>
      <c r="N164" s="38" t="s">
        <v>318</v>
      </c>
    </row>
    <row r="165" spans="10:14" x14ac:dyDescent="0.2">
      <c r="J165" s="38" t="s">
        <v>321</v>
      </c>
      <c r="K165" s="53" t="s">
        <v>44</v>
      </c>
      <c r="L165">
        <v>3</v>
      </c>
      <c r="N165" s="38" t="s">
        <v>322</v>
      </c>
    </row>
    <row r="166" spans="10:14" x14ac:dyDescent="0.2">
      <c r="J166" s="38" t="s">
        <v>323</v>
      </c>
      <c r="K166" s="53" t="s">
        <v>44</v>
      </c>
      <c r="L166">
        <v>3</v>
      </c>
      <c r="N166" s="38" t="s">
        <v>322</v>
      </c>
    </row>
    <row r="167" spans="10:14" x14ac:dyDescent="0.2">
      <c r="J167" s="38" t="s">
        <v>324</v>
      </c>
      <c r="K167" s="53" t="s">
        <v>44</v>
      </c>
      <c r="L167">
        <v>3</v>
      </c>
      <c r="N167" s="38" t="s">
        <v>322</v>
      </c>
    </row>
    <row r="168" spans="10:14" x14ac:dyDescent="0.2">
      <c r="J168" s="38" t="s">
        <v>325</v>
      </c>
      <c r="K168" s="53" t="s">
        <v>44</v>
      </c>
      <c r="L168">
        <v>3</v>
      </c>
      <c r="N168" s="38" t="s">
        <v>326</v>
      </c>
    </row>
    <row r="169" spans="10:14" x14ac:dyDescent="0.2">
      <c r="J169" s="38" t="s">
        <v>327</v>
      </c>
      <c r="K169" s="53" t="s">
        <v>44</v>
      </c>
      <c r="L169">
        <v>3</v>
      </c>
      <c r="N169" s="38" t="s">
        <v>326</v>
      </c>
    </row>
    <row r="170" spans="10:14" x14ac:dyDescent="0.2">
      <c r="J170" s="38" t="s">
        <v>328</v>
      </c>
      <c r="K170" s="53" t="s">
        <v>44</v>
      </c>
      <c r="L170">
        <v>3</v>
      </c>
      <c r="N170" s="38" t="s">
        <v>326</v>
      </c>
    </row>
    <row r="171" spans="10:14" x14ac:dyDescent="0.2">
      <c r="J171" s="38" t="s">
        <v>329</v>
      </c>
      <c r="K171" s="53" t="s">
        <v>44</v>
      </c>
      <c r="L171">
        <v>3</v>
      </c>
      <c r="N171" s="38" t="s">
        <v>330</v>
      </c>
    </row>
    <row r="172" spans="10:14" x14ac:dyDescent="0.2">
      <c r="J172" s="38" t="s">
        <v>331</v>
      </c>
      <c r="K172" s="53" t="s">
        <v>44</v>
      </c>
      <c r="L172">
        <v>3</v>
      </c>
      <c r="N172" s="38" t="s">
        <v>330</v>
      </c>
    </row>
    <row r="173" spans="10:14" x14ac:dyDescent="0.2">
      <c r="J173" s="38" t="s">
        <v>332</v>
      </c>
      <c r="K173" s="53" t="s">
        <v>44</v>
      </c>
      <c r="L173">
        <v>3</v>
      </c>
      <c r="N173" s="38" t="s">
        <v>330</v>
      </c>
    </row>
    <row r="174" spans="10:14" x14ac:dyDescent="0.2">
      <c r="J174" s="38" t="s">
        <v>333</v>
      </c>
      <c r="K174" s="53" t="s">
        <v>44</v>
      </c>
      <c r="L174">
        <v>3</v>
      </c>
      <c r="N174" s="38" t="s">
        <v>334</v>
      </c>
    </row>
    <row r="175" spans="10:14" x14ac:dyDescent="0.2">
      <c r="J175" s="38" t="s">
        <v>335</v>
      </c>
      <c r="K175" s="53" t="s">
        <v>44</v>
      </c>
      <c r="L175">
        <v>3</v>
      </c>
      <c r="N175" s="38" t="s">
        <v>334</v>
      </c>
    </row>
    <row r="176" spans="10:14" x14ac:dyDescent="0.2">
      <c r="J176" s="38" t="s">
        <v>336</v>
      </c>
      <c r="K176" s="53" t="s">
        <v>44</v>
      </c>
      <c r="L176">
        <v>3</v>
      </c>
      <c r="N176" s="38" t="s">
        <v>334</v>
      </c>
    </row>
    <row r="177" spans="10:14" x14ac:dyDescent="0.2">
      <c r="J177" s="38" t="s">
        <v>337</v>
      </c>
      <c r="K177" s="53" t="s">
        <v>44</v>
      </c>
      <c r="L177">
        <v>3</v>
      </c>
      <c r="N177" s="38" t="s">
        <v>338</v>
      </c>
    </row>
    <row r="178" spans="10:14" x14ac:dyDescent="0.2">
      <c r="J178" s="38" t="s">
        <v>339</v>
      </c>
      <c r="K178" s="53" t="s">
        <v>44</v>
      </c>
      <c r="L178">
        <v>3</v>
      </c>
      <c r="N178" s="38" t="s">
        <v>338</v>
      </c>
    </row>
    <row r="179" spans="10:14" x14ac:dyDescent="0.2">
      <c r="J179" s="38" t="s">
        <v>340</v>
      </c>
      <c r="K179" s="53" t="s">
        <v>44</v>
      </c>
      <c r="L179">
        <v>3</v>
      </c>
      <c r="N179" s="38" t="s">
        <v>338</v>
      </c>
    </row>
    <row r="180" spans="10:14" x14ac:dyDescent="0.2">
      <c r="J180" s="38" t="s">
        <v>341</v>
      </c>
      <c r="K180" s="53" t="s">
        <v>44</v>
      </c>
      <c r="L180">
        <v>3</v>
      </c>
      <c r="N180" s="38" t="s">
        <v>342</v>
      </c>
    </row>
    <row r="181" spans="10:14" x14ac:dyDescent="0.2">
      <c r="J181" s="38" t="s">
        <v>343</v>
      </c>
      <c r="K181" s="53" t="s">
        <v>44</v>
      </c>
      <c r="L181">
        <v>3</v>
      </c>
      <c r="N181" s="38" t="s">
        <v>342</v>
      </c>
    </row>
    <row r="182" spans="10:14" x14ac:dyDescent="0.2">
      <c r="J182" s="38" t="s">
        <v>344</v>
      </c>
      <c r="K182" s="53" t="s">
        <v>44</v>
      </c>
      <c r="L182">
        <v>3</v>
      </c>
      <c r="N182" s="38" t="s">
        <v>342</v>
      </c>
    </row>
    <row r="183" spans="10:14" x14ac:dyDescent="0.2">
      <c r="J183" s="38" t="s">
        <v>345</v>
      </c>
      <c r="K183" s="53" t="s">
        <v>44</v>
      </c>
      <c r="L183">
        <v>3</v>
      </c>
      <c r="N183" s="38" t="s">
        <v>346</v>
      </c>
    </row>
    <row r="184" spans="10:14" x14ac:dyDescent="0.2">
      <c r="J184" s="38" t="s">
        <v>347</v>
      </c>
      <c r="K184" s="53" t="s">
        <v>44</v>
      </c>
      <c r="L184">
        <v>3</v>
      </c>
      <c r="N184" s="38" t="s">
        <v>346</v>
      </c>
    </row>
    <row r="185" spans="10:14" x14ac:dyDescent="0.2">
      <c r="J185" s="38" t="s">
        <v>348</v>
      </c>
      <c r="K185" s="53" t="s">
        <v>44</v>
      </c>
      <c r="L185">
        <v>3</v>
      </c>
      <c r="N185" s="38" t="s">
        <v>346</v>
      </c>
    </row>
    <row r="186" spans="10:14" x14ac:dyDescent="0.2">
      <c r="J186" s="38" t="s">
        <v>349</v>
      </c>
      <c r="K186" s="53" t="s">
        <v>44</v>
      </c>
      <c r="L186">
        <v>3</v>
      </c>
      <c r="N186" s="38" t="s">
        <v>350</v>
      </c>
    </row>
    <row r="187" spans="10:14" x14ac:dyDescent="0.2">
      <c r="J187" s="38" t="s">
        <v>351</v>
      </c>
      <c r="K187" s="53" t="s">
        <v>44</v>
      </c>
      <c r="L187">
        <v>3</v>
      </c>
      <c r="N187" s="38" t="s">
        <v>350</v>
      </c>
    </row>
    <row r="188" spans="10:14" x14ac:dyDescent="0.2">
      <c r="J188" s="38" t="s">
        <v>352</v>
      </c>
      <c r="K188" s="53" t="s">
        <v>44</v>
      </c>
      <c r="L188">
        <v>3</v>
      </c>
      <c r="N188" s="38" t="s">
        <v>350</v>
      </c>
    </row>
    <row r="189" spans="10:14" x14ac:dyDescent="0.2">
      <c r="J189" s="38" t="s">
        <v>353</v>
      </c>
      <c r="K189" s="53" t="s">
        <v>44</v>
      </c>
      <c r="L189">
        <v>3</v>
      </c>
      <c r="N189" s="38" t="s">
        <v>354</v>
      </c>
    </row>
    <row r="190" spans="10:14" x14ac:dyDescent="0.2">
      <c r="J190" s="38" t="s">
        <v>355</v>
      </c>
      <c r="K190" s="53" t="s">
        <v>44</v>
      </c>
      <c r="L190">
        <v>3</v>
      </c>
      <c r="N190" s="38" t="s">
        <v>354</v>
      </c>
    </row>
    <row r="191" spans="10:14" x14ac:dyDescent="0.2">
      <c r="J191" s="38" t="s">
        <v>356</v>
      </c>
      <c r="K191" s="53" t="s">
        <v>44</v>
      </c>
      <c r="L191">
        <v>3</v>
      </c>
      <c r="N191" s="38" t="s">
        <v>354</v>
      </c>
    </row>
    <row r="192" spans="10:14" x14ac:dyDescent="0.2">
      <c r="J192" s="38" t="s">
        <v>357</v>
      </c>
      <c r="K192" s="53" t="s">
        <v>44</v>
      </c>
      <c r="L192">
        <v>3</v>
      </c>
      <c r="N192" s="38" t="s">
        <v>358</v>
      </c>
    </row>
    <row r="193" spans="10:14" x14ac:dyDescent="0.2">
      <c r="J193" s="38" t="s">
        <v>359</v>
      </c>
      <c r="K193" s="53" t="s">
        <v>44</v>
      </c>
      <c r="L193">
        <v>3</v>
      </c>
      <c r="N193" s="38" t="s">
        <v>358</v>
      </c>
    </row>
    <row r="194" spans="10:14" x14ac:dyDescent="0.2">
      <c r="J194" s="38" t="s">
        <v>360</v>
      </c>
      <c r="K194" s="53" t="s">
        <v>44</v>
      </c>
      <c r="L194">
        <v>3</v>
      </c>
      <c r="N194" s="38" t="s">
        <v>358</v>
      </c>
    </row>
    <row r="195" spans="10:14" x14ac:dyDescent="0.2">
      <c r="J195" s="38" t="s">
        <v>361</v>
      </c>
      <c r="K195" s="53" t="s">
        <v>44</v>
      </c>
      <c r="L195">
        <v>3</v>
      </c>
      <c r="N195" s="38" t="s">
        <v>362</v>
      </c>
    </row>
    <row r="196" spans="10:14" x14ac:dyDescent="0.2">
      <c r="J196" s="38" t="s">
        <v>363</v>
      </c>
      <c r="K196" s="53" t="s">
        <v>44</v>
      </c>
      <c r="L196">
        <v>3</v>
      </c>
      <c r="N196" s="38" t="s">
        <v>362</v>
      </c>
    </row>
    <row r="197" spans="10:14" x14ac:dyDescent="0.2">
      <c r="J197" s="38" t="s">
        <v>364</v>
      </c>
      <c r="K197" s="53" t="s">
        <v>44</v>
      </c>
      <c r="L197">
        <v>3</v>
      </c>
      <c r="N197" s="38" t="s">
        <v>362</v>
      </c>
    </row>
    <row r="198" spans="10:14" x14ac:dyDescent="0.2">
      <c r="J198" s="38" t="s">
        <v>365</v>
      </c>
      <c r="K198" s="53" t="s">
        <v>44</v>
      </c>
      <c r="L198">
        <v>3</v>
      </c>
      <c r="N198" s="38" t="s">
        <v>366</v>
      </c>
    </row>
    <row r="199" spans="10:14" x14ac:dyDescent="0.2">
      <c r="J199" s="38" t="s">
        <v>367</v>
      </c>
      <c r="K199" s="53" t="s">
        <v>44</v>
      </c>
      <c r="L199">
        <v>3</v>
      </c>
      <c r="N199" s="38" t="s">
        <v>366</v>
      </c>
    </row>
    <row r="200" spans="10:14" x14ac:dyDescent="0.2">
      <c r="J200" s="38" t="s">
        <v>368</v>
      </c>
      <c r="K200" s="53" t="s">
        <v>44</v>
      </c>
      <c r="L200">
        <v>3</v>
      </c>
      <c r="N200" s="38" t="s">
        <v>366</v>
      </c>
    </row>
    <row r="201" spans="10:14" x14ac:dyDescent="0.2">
      <c r="J201" s="38" t="s">
        <v>369</v>
      </c>
      <c r="K201" s="53" t="s">
        <v>44</v>
      </c>
      <c r="L201">
        <v>3</v>
      </c>
      <c r="N201" s="38" t="s">
        <v>370</v>
      </c>
    </row>
    <row r="202" spans="10:14" x14ac:dyDescent="0.2">
      <c r="J202" s="38" t="s">
        <v>371</v>
      </c>
      <c r="K202" s="53" t="s">
        <v>44</v>
      </c>
      <c r="L202">
        <v>3</v>
      </c>
      <c r="N202" s="38" t="s">
        <v>370</v>
      </c>
    </row>
    <row r="203" spans="10:14" x14ac:dyDescent="0.2">
      <c r="J203" s="38" t="s">
        <v>372</v>
      </c>
      <c r="K203" s="53" t="s">
        <v>44</v>
      </c>
      <c r="L203">
        <v>3</v>
      </c>
      <c r="N203" s="38" t="s">
        <v>370</v>
      </c>
    </row>
    <row r="204" spans="10:14" x14ac:dyDescent="0.2">
      <c r="J204" s="38" t="s">
        <v>373</v>
      </c>
      <c r="K204" s="53" t="s">
        <v>44</v>
      </c>
      <c r="L204">
        <v>3</v>
      </c>
      <c r="N204" s="38" t="s">
        <v>374</v>
      </c>
    </row>
    <row r="205" spans="10:14" x14ac:dyDescent="0.2">
      <c r="J205" s="38" t="s">
        <v>375</v>
      </c>
      <c r="K205" s="53" t="s">
        <v>44</v>
      </c>
      <c r="L205">
        <v>3</v>
      </c>
      <c r="N205" s="38" t="s">
        <v>374</v>
      </c>
    </row>
    <row r="206" spans="10:14" x14ac:dyDescent="0.2">
      <c r="J206" s="38" t="s">
        <v>376</v>
      </c>
      <c r="K206" s="53" t="s">
        <v>44</v>
      </c>
      <c r="L206">
        <v>3</v>
      </c>
      <c r="N206" s="38" t="s">
        <v>374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RELATÓRIO APROV. DE LEGÍVEIS</vt:lpstr>
      <vt:lpstr>ITEM 01</vt:lpstr>
      <vt:lpstr>ITEM 02</vt:lpstr>
      <vt:lpstr>ITEM 03</vt:lpstr>
      <vt:lpstr>ITEM 04</vt:lpstr>
      <vt:lpstr>ITEM 05</vt:lpstr>
      <vt:lpstr>ITEM 06</vt:lpstr>
      <vt:lpstr>PROVA</vt:lpstr>
      <vt:lpstr>Planilha1</vt:lpstr>
      <vt:lpstr>'ITEM 01'!Titulos_de_impressao</vt:lpstr>
      <vt:lpstr>'ITEM 02'!Titulos_de_impressao</vt:lpstr>
      <vt:lpstr>'ITEM 03'!Titulos_de_impressao</vt:lpstr>
      <vt:lpstr>'ITEM 04'!Titulos_de_impressao</vt:lpstr>
      <vt:lpstr>'ITEM 05'!Titulos_de_impressao</vt:lpstr>
      <vt:lpstr>'ITEM 06'!Titulos_de_impressao</vt:lpstr>
      <vt:lpstr>PROVA!Titulos_de_impressao</vt:lpstr>
      <vt:lpstr>'RELATÓRIO APROV. DE LEGÍVEIS'!Titulos_de_impressao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Boletim de Medição</dc:title>
  <dc:creator>Joao Paulo Benfica;m1010603</dc:creator>
  <cp:lastModifiedBy>Flaviano Souza</cp:lastModifiedBy>
  <cp:lastPrinted>2024-06-06T15:49:58Z</cp:lastPrinted>
  <dcterms:created xsi:type="dcterms:W3CDTF">2017-10-10T14:41:42Z</dcterms:created>
  <dcterms:modified xsi:type="dcterms:W3CDTF">2025-09-01T10:23:46Z</dcterms:modified>
</cp:coreProperties>
</file>